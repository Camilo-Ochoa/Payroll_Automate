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halliburton-my.sharepoint.com/personal/camiloandres_ochoa_halliburton_com/Documents/Desktop/"/>
    </mc:Choice>
  </mc:AlternateContent>
  <xr:revisionPtr revIDLastSave="364" documentId="13_ncr:1_{12671B66-7BA9-4656-87AA-C1397DBE7B95}" xr6:coauthVersionLast="47" xr6:coauthVersionMax="47" xr10:uidLastSave="{B936C947-87BC-4100-9BD6-13C249934545}"/>
  <bookViews>
    <workbookView xWindow="-120" yWindow="-120" windowWidth="29040" windowHeight="15840" firstSheet="3" activeTab="3" xr2:uid="{00000000-000D-0000-FFFF-FFFF00000000}"/>
  </bookViews>
  <sheets>
    <sheet name="Listas" sheetId="8" state="hidden" r:id="rId1"/>
    <sheet name="Pagos B&amp;C y PE" sheetId="18" state="hidden" r:id="rId2"/>
    <sheet name="Ultimo HC" sheetId="19" state="hidden" r:id="rId3"/>
    <sheet name="COP" sheetId="9" r:id="rId4"/>
    <sheet name="SAPlist " sheetId="16" state="hidden" r:id="rId5"/>
  </sheets>
  <functionGroups builtInGroupCount="19"/>
  <externalReferences>
    <externalReference r:id="rId6"/>
    <externalReference r:id="rId7"/>
    <externalReference r:id="rId8"/>
    <externalReference r:id="rId9"/>
    <externalReference r:id="rId10"/>
  </externalReferences>
  <definedNames>
    <definedName name="___SAP1">[1]SAP!$A$2:$A$229</definedName>
    <definedName name="__SAP1">'SAPlist '!$A$3:$A$139</definedName>
    <definedName name="_COD1">[2]Sheet2!$A$2:$A$1256</definedName>
    <definedName name="_DAT1">[2]Sheet2!$A$2:$D$1256</definedName>
    <definedName name="_DIC2" localSheetId="1">#REF!</definedName>
    <definedName name="_DIC2">#REF!</definedName>
    <definedName name="_FC" localSheetId="1">#REF!</definedName>
    <definedName name="_FC">#REF!</definedName>
    <definedName name="_xlnm._FilterDatabase" localSheetId="3" hidden="1">COP!$B$7:$L$7</definedName>
    <definedName name="_xlnm._FilterDatabase" localSheetId="4" hidden="1">'SAPlist '!$A$2:$F$177</definedName>
    <definedName name="_xlnm._FilterDatabase" localSheetId="2" hidden="1">'Ultimo HC'!$A$1:$M$216</definedName>
    <definedName name="_MV01" localSheetId="1">'Pagos B&amp;C y PE'!$M$31:$M$62</definedName>
    <definedName name="_MV01">#REF!</definedName>
    <definedName name="_MV02" localSheetId="1">'Pagos B&amp;C y PE'!$K$31:$K$62</definedName>
    <definedName name="_MV02">#REF!</definedName>
    <definedName name="_MV03" localSheetId="1">'Pagos B&amp;C y PE'!$J$31:$J$62</definedName>
    <definedName name="_MV03">#REF!</definedName>
    <definedName name="_MV04" localSheetId="1">'Pagos B&amp;C y PE'!$I$31:$I$62</definedName>
    <definedName name="_MV04">#REF!</definedName>
    <definedName name="_MV05" localSheetId="1">'Pagos B&amp;C y PE'!$H$31:$H$51</definedName>
    <definedName name="_MV05">#REF!</definedName>
    <definedName name="_OV01" localSheetId="1">'Pagos B&amp;C y PE'!$G$31:$G$57</definedName>
    <definedName name="_OV01">#REF!</definedName>
    <definedName name="_OV02" localSheetId="1">'Pagos B&amp;C y PE'!$F$31:$F$57</definedName>
    <definedName name="_OV02">#REF!</definedName>
    <definedName name="_OV03" localSheetId="1">'Pagos B&amp;C y PE'!$E$31:$E$57</definedName>
    <definedName name="_OV03">#REF!</definedName>
    <definedName name="_OV04" localSheetId="1">'Pagos B&amp;C y PE'!$D$31:$D$58</definedName>
    <definedName name="_OV04">#REF!</definedName>
    <definedName name="_OV05" localSheetId="1">'Pagos B&amp;C y PE'!$C$31:$C$57</definedName>
    <definedName name="_OV05">#REF!</definedName>
    <definedName name="_SAP1">'SAPlist '!$A$3:$A$139</definedName>
    <definedName name="aa" localSheetId="1">#REF!</definedName>
    <definedName name="aa">#REF!</definedName>
    <definedName name="Abr">Listas!$F$5:$AI$5</definedName>
    <definedName name="Ago">Listas!$F$9:$AJ$9</definedName>
    <definedName name="AGOSTO" localSheetId="1">#REF!</definedName>
    <definedName name="AGOSTO">#REF!</definedName>
    <definedName name="AL" localSheetId="1">#REF!</definedName>
    <definedName name="AL">#REF!</definedName>
    <definedName name="AN" localSheetId="1">#REF!</definedName>
    <definedName name="AN">#REF!</definedName>
    <definedName name="ANT" localSheetId="1">#REF!</definedName>
    <definedName name="ANT">#REF!</definedName>
    <definedName name="ANTI" localSheetId="1">#REF!</definedName>
    <definedName name="ANTI">#REF!</definedName>
    <definedName name="antigua" localSheetId="1">#REF!</definedName>
    <definedName name="antigua">#REF!</definedName>
    <definedName name="antiguedad" localSheetId="1">#REF!</definedName>
    <definedName name="antiguedad">#REF!</definedName>
    <definedName name="AP" localSheetId="1">#REF!</definedName>
    <definedName name="AP">#REF!</definedName>
    <definedName name="APORTES" localSheetId="1">#REF!</definedName>
    <definedName name="APORTES">#REF!</definedName>
    <definedName name="APOSTELLA" localSheetId="1">#REF!</definedName>
    <definedName name="APOSTELLA">#REF!</definedName>
    <definedName name="Aug">Listas!$F$9:$AJ$9</definedName>
    <definedName name="base" localSheetId="1">[1]Listas!$A$2:$A$8</definedName>
    <definedName name="base" localSheetId="4">[3]Listas!$A$2:$A$8</definedName>
    <definedName name="base">Listas!$A$2:$A$8</definedName>
    <definedName name="bases" localSheetId="0">Listas!$A$2:$A$8</definedName>
    <definedName name="bases" localSheetId="1">#REF!</definedName>
    <definedName name="bases">#REF!</definedName>
    <definedName name="bb" localSheetId="1">#REF!</definedName>
    <definedName name="bb">#REF!</definedName>
    <definedName name="BC08." localSheetId="1">'Pagos B&amp;C y PE'!$N$31:$N$34</definedName>
    <definedName name="BC08.">#REF!</definedName>
    <definedName name="BC09." localSheetId="1">'Pagos B&amp;C y PE'!$O$31:$O$34</definedName>
    <definedName name="BC09.">#REF!</definedName>
    <definedName name="BC10." localSheetId="1">'Pagos B&amp;C y PE'!$P$31:$P$34</definedName>
    <definedName name="BC10.">#REF!</definedName>
    <definedName name="BC33.">'Pagos B&amp;C y PE'!$AL$31:$AL$33</definedName>
    <definedName name="BC333." localSheetId="1">[1]COP!$J$11</definedName>
    <definedName name="BD01." localSheetId="1">'Pagos B&amp;C y PE'!$K$31:$K$34</definedName>
    <definedName name="BD01.">#REF!</definedName>
    <definedName name="BD02." localSheetId="1">'Pagos B&amp;C y PE'!$M$31:$M$34</definedName>
    <definedName name="BD02.">#REF!</definedName>
    <definedName name="BD08." localSheetId="1">'Pagos B&amp;C y PE'!$H$31:$H$34</definedName>
    <definedName name="BD08.">#REF!</definedName>
    <definedName name="BD09." localSheetId="1">'Pagos B&amp;C y PE'!$I$31:$I$34</definedName>
    <definedName name="BD09.">#REF!</definedName>
    <definedName name="BD10." localSheetId="1">'Pagos B&amp;C y PE'!$J$31:$J$34</definedName>
    <definedName name="BD10.">#REF!</definedName>
    <definedName name="BD11.">#REF!</definedName>
    <definedName name="BD12.">#REF!</definedName>
    <definedName name="BD13.">#REF!</definedName>
    <definedName name="BF03." localSheetId="1">'Pagos B&amp;C y PE'!$AD$31:$AD$34</definedName>
    <definedName name="BF03.">#REF!</definedName>
    <definedName name="BF04." localSheetId="1">'Pagos B&amp;C y PE'!$AE$31:$AE$34</definedName>
    <definedName name="BF04.">#REF!</definedName>
    <definedName name="BF09.">#REF!</definedName>
    <definedName name="BF10.">#REF!</definedName>
    <definedName name="BONI" localSheetId="1">#REF!</definedName>
    <definedName name="BONI">#REF!</definedName>
    <definedName name="BONIF" localSheetId="1">#REF!</definedName>
    <definedName name="BONIF">#REF!</definedName>
    <definedName name="Bonus">[4]Data!$C$49:$C$59</definedName>
    <definedName name="BS03." localSheetId="1">'Pagos B&amp;C y PE'!$C$31:$C$34</definedName>
    <definedName name="BS03.">#REF!</definedName>
    <definedName name="BS04." localSheetId="1">'Pagos B&amp;C y PE'!$D$31:$D$34</definedName>
    <definedName name="BS04.">#REF!</definedName>
    <definedName name="BS08." localSheetId="1">'Pagos B&amp;C y PE'!$E$31:$E$34</definedName>
    <definedName name="BS08.">#REF!</definedName>
    <definedName name="BS09." localSheetId="1">'Pagos B&amp;C y PE'!$F$31:$F$34</definedName>
    <definedName name="BS09.">#REF!</definedName>
    <definedName name="BS10." localSheetId="1">'Pagos B&amp;C y PE'!$G$31:$G$34</definedName>
    <definedName name="BS10.">#REF!</definedName>
    <definedName name="cargosperry" localSheetId="0">Listas!$C$2:$C$16</definedName>
    <definedName name="cargosperry" localSheetId="1">#REF!</definedName>
    <definedName name="cargosperry">#REF!</definedName>
    <definedName name="CC" localSheetId="1">#REF!</definedName>
    <definedName name="CC">#REF!</definedName>
    <definedName name="CE" localSheetId="1">#REF!</definedName>
    <definedName name="CE">#REF!</definedName>
    <definedName name="CENTRO" localSheetId="1">#REF!</definedName>
    <definedName name="CENTRO">#REF!</definedName>
    <definedName name="CES" localSheetId="1">#REF!</definedName>
    <definedName name="CES">#REF!</definedName>
    <definedName name="CESA" localSheetId="1">#REF!</definedName>
    <definedName name="CESA">#REF!</definedName>
    <definedName name="cesantia" localSheetId="1">#REF!</definedName>
    <definedName name="cesantia">#REF!</definedName>
    <definedName name="Client">[1]Listas!$D$2:$D$75</definedName>
    <definedName name="cliente" localSheetId="4">[3]Listas!$D$2:$D$66</definedName>
    <definedName name="cliente">Listas!$D$2:$D$83</definedName>
    <definedName name="clientes" localSheetId="0">Listas!$D$2:$D$82</definedName>
    <definedName name="clientes" localSheetId="1">#REF!</definedName>
    <definedName name="clientes">#REF!</definedName>
    <definedName name="clientes1">[5]Listas!$D$2:$D$77</definedName>
    <definedName name="CliProyLoc">COP!$B$11:$D$29</definedName>
    <definedName name="COD2aQNA" localSheetId="1">#REF!</definedName>
    <definedName name="COD2aQNA">#REF!</definedName>
    <definedName name="CODIGO" localSheetId="1">#REF!</definedName>
    <definedName name="CODIGO">#REF!</definedName>
    <definedName name="CODIGOS" localSheetId="1">#REF!</definedName>
    <definedName name="CODIGOS">#REF!</definedName>
    <definedName name="CON" localSheetId="1">#REF!</definedName>
    <definedName name="CON">#REF!</definedName>
    <definedName name="CONCI" localSheetId="1">#REF!</definedName>
    <definedName name="CONCI">#REF!</definedName>
    <definedName name="CONS" localSheetId="1">#REF!</definedName>
    <definedName name="CONS">#REF!</definedName>
    <definedName name="CONSO" localSheetId="1">#REF!</definedName>
    <definedName name="CONSO">#REF!</definedName>
    <definedName name="CONT" localSheetId="1">#REF!</definedName>
    <definedName name="CONT">#REF!</definedName>
    <definedName name="CONTRUBUTION" localSheetId="1">#REF!</definedName>
    <definedName name="CONTRUBUTION">#REF!</definedName>
    <definedName name="convenciones" localSheetId="0">Listas!$D$2:$D$82</definedName>
    <definedName name="convenciones" localSheetId="1">#REF!</definedName>
    <definedName name="convenciones">#REF!</definedName>
    <definedName name="COPRIMARAQNA" localSheetId="1">#REF!</definedName>
    <definedName name="COPRIMARAQNA">#REF!</definedName>
    <definedName name="Customers">[4]Data!$E$5:$E$33</definedName>
    <definedName name="date" localSheetId="1">[1]Listas!$F$2:$F$17</definedName>
    <definedName name="date" localSheetId="4">[3]Listas!$E$2:$E$13</definedName>
    <definedName name="date">Listas!$E$2:$E$13</definedName>
    <definedName name="dd" localSheetId="1">#REF!</definedName>
    <definedName name="dd">#REF!</definedName>
    <definedName name="DD.RA" localSheetId="1">'Pagos B&amp;C y PE'!$A$77:$A$78</definedName>
    <definedName name="DD.RA">#REF!</definedName>
    <definedName name="DD.RB" localSheetId="1">'Pagos B&amp;C y PE'!$A$77:$A$78</definedName>
    <definedName name="DD.RB">#REF!</definedName>
    <definedName name="DD.RC" localSheetId="1">'Pagos B&amp;C y PE'!$A$74:$A$75</definedName>
    <definedName name="DD.RC">#REF!</definedName>
    <definedName name="dec">Listas!$F$13:$AJ$13</definedName>
    <definedName name="DEDUCTIONS" localSheetId="1">#REF!</definedName>
    <definedName name="DEDUCTIONS">#REF!</definedName>
    <definedName name="Dia">Listas!$I$22:$AM$22</definedName>
    <definedName name="dic" localSheetId="3">Listas!$F$13:$AJ$13</definedName>
    <definedName name="Dic" localSheetId="0">Listas!$F$13:$AJ$13</definedName>
    <definedName name="DIC" localSheetId="1">#REF!</definedName>
    <definedName name="DIC">#REF!</definedName>
    <definedName name="DV_01." localSheetId="1">'Pagos B&amp;C y PE'!$B$5</definedName>
    <definedName name="DV_01.">#REF!</definedName>
    <definedName name="DV01." localSheetId="1">'Pagos B&amp;C y PE'!$R$31:$R$51</definedName>
    <definedName name="DV01.">#REF!</definedName>
    <definedName name="DV02." localSheetId="1">'Pagos B&amp;C y PE'!$Q$31:$Q$51</definedName>
    <definedName name="DV02.">#REF!</definedName>
    <definedName name="DV03." localSheetId="1">'Pagos B&amp;C y PE'!$P$31:$P$51</definedName>
    <definedName name="DV03.">#REF!</definedName>
    <definedName name="DV04." localSheetId="1">'Pagos B&amp;C y PE'!$O$31:$O$51</definedName>
    <definedName name="DV04.">#REF!</definedName>
    <definedName name="DV05." localSheetId="1">'Pagos B&amp;C y PE'!$N$31:$N$50</definedName>
    <definedName name="DV05.">#REF!</definedName>
    <definedName name="ee" localSheetId="1">#REF!</definedName>
    <definedName name="ee">#REF!</definedName>
    <definedName name="Employees">[4]Data!$S$5:$S$47</definedName>
    <definedName name="Ene">Listas!$F$2:$AJ$2</definedName>
    <definedName name="extralegal" localSheetId="1">#REF!</definedName>
    <definedName name="extralegal">#REF!</definedName>
    <definedName name="Feb">Listas!$F$3:$AH$3</definedName>
    <definedName name="Fecha" localSheetId="0">Listas!$E$6:$E$17</definedName>
    <definedName name="Fecha" localSheetId="1">#REF!</definedName>
    <definedName name="Fecha">#REF!</definedName>
    <definedName name="FechaDesdeHasta">COP!$F$11:$G$29</definedName>
    <definedName name="fechas">Listas!$E$2:$F$13</definedName>
    <definedName name="ff" localSheetId="1">#REF!</definedName>
    <definedName name="ff">#REF!</definedName>
    <definedName name="FF23.">#REF!</definedName>
    <definedName name="FI" localSheetId="1">#REF!</definedName>
    <definedName name="FI">#REF!</definedName>
    <definedName name="gg" localSheetId="1">#REF!</definedName>
    <definedName name="gg">#REF!</definedName>
    <definedName name="hh" localSheetId="1">#REF!</definedName>
    <definedName name="hh">#REF!</definedName>
    <definedName name="hhhh" localSheetId="1">[1]COP!#REF!</definedName>
    <definedName name="hhhh">[1]COP!#REF!</definedName>
    <definedName name="ii" localSheetId="1">#REF!</definedName>
    <definedName name="ii">#REF!</definedName>
    <definedName name="INGRESO" localSheetId="1">#REF!</definedName>
    <definedName name="INGRESO">#REF!</definedName>
    <definedName name="INT" localSheetId="1">#REF!</definedName>
    <definedName name="INT">#REF!</definedName>
    <definedName name="INTERES" localSheetId="1">#REF!</definedName>
    <definedName name="INTERES">#REF!</definedName>
    <definedName name="intereses" localSheetId="1">#REF!</definedName>
    <definedName name="intereses">#REF!</definedName>
    <definedName name="JJ" localSheetId="1">#REF!</definedName>
    <definedName name="JJ">#REF!</definedName>
    <definedName name="Jul">Listas!$F$8:$AJ$8</definedName>
    <definedName name="JULIO" localSheetId="1">#REF!</definedName>
    <definedName name="JULIO">#REF!</definedName>
    <definedName name="Jun">Listas!$F$7:$AI$7</definedName>
    <definedName name="K0_56" localSheetId="1">'Pagos B&amp;C y PE'!#REF!</definedName>
    <definedName name="K0_56">#REF!</definedName>
    <definedName name="K0_58" localSheetId="1">'Pagos B&amp;C y PE'!#REF!</definedName>
    <definedName name="K0_58">#REF!</definedName>
    <definedName name="K061.">#REF!</definedName>
    <definedName name="K062.">#REF!</definedName>
    <definedName name="K1_65" localSheetId="1">'Pagos B&amp;C y PE'!#REF!</definedName>
    <definedName name="K1_65">#REF!</definedName>
    <definedName name="K679.">#REF!</definedName>
    <definedName name="K680.">#REF!</definedName>
    <definedName name="K681.">#REF!</definedName>
    <definedName name="K7_40" localSheetId="1">'Pagos B&amp;C y PE'!#REF!</definedName>
    <definedName name="K7_40">#REF!</definedName>
    <definedName name="K901.">'Pagos B&amp;C y PE'!$AA$31:$AA$35</definedName>
    <definedName name="K902.">'Pagos B&amp;C y PE'!$Z$31:$Z$35</definedName>
    <definedName name="K903.">'Pagos B&amp;C y PE'!$Y$31:$Y$35</definedName>
    <definedName name="K917.">'Pagos B&amp;C y PE'!$R$31:$R$35</definedName>
    <definedName name="K918.">'Pagos B&amp;C y PE'!$P$31:$P$35</definedName>
    <definedName name="K919.">'Pagos B&amp;C y PE'!$N$31:$N$35</definedName>
    <definedName name="K926.">'Pagos B&amp;C y PE'!$Q$31:$Q$35</definedName>
    <definedName name="K927.">'Pagos B&amp;C y PE'!$O$31:$O$35</definedName>
    <definedName name="K941.">#REF!</definedName>
    <definedName name="K942.">#REF!</definedName>
    <definedName name="K943.">#REF!</definedName>
    <definedName name="K986.">#REF!</definedName>
    <definedName name="LEGAL" localSheetId="1">#REF!</definedName>
    <definedName name="LEGAL">#REF!</definedName>
    <definedName name="lq" localSheetId="1">#REF!</definedName>
    <definedName name="lq">#REF!</definedName>
    <definedName name="m" localSheetId="1">#REF!</definedName>
    <definedName name="m">#REF!</definedName>
    <definedName name="M001.">#REF!</definedName>
    <definedName name="M005.">#REF!</definedName>
    <definedName name="M006.">#REF!</definedName>
    <definedName name="M007.">#REF!</definedName>
    <definedName name="M009.">#REF!</definedName>
    <definedName name="M010.">#REF!</definedName>
    <definedName name="M014.">#REF!</definedName>
    <definedName name="Mar">Listas!$F$4:$AJ$4</definedName>
    <definedName name="May">Listas!$F$6:$AJ$6</definedName>
    <definedName name="mile" localSheetId="1">#REF!</definedName>
    <definedName name="mile">#REF!</definedName>
    <definedName name="MLWDA" localSheetId="1">'Pagos B&amp;C y PE'!$A$68:$A$69</definedName>
    <definedName name="MLWDA">#REF!</definedName>
    <definedName name="MLWDB" localSheetId="1">'Pagos B&amp;C y PE'!$A$71:$A$72</definedName>
    <definedName name="MLWDB">#REF!</definedName>
    <definedName name="MLWDC" localSheetId="1">'Pagos B&amp;C y PE'!$A$83:$A$84</definedName>
    <definedName name="MLWDC">#REF!</definedName>
    <definedName name="MM" localSheetId="1">#REF!</definedName>
    <definedName name="MM">#REF!</definedName>
    <definedName name="MS" localSheetId="1">#REF!</definedName>
    <definedName name="MS">#REF!</definedName>
    <definedName name="MV_01." localSheetId="1">'Pagos B&amp;C y PE'!$B$5</definedName>
    <definedName name="MV_01.">#REF!</definedName>
    <definedName name="MV01." localSheetId="1">'Pagos B&amp;C y PE'!$M$31:$M$62</definedName>
    <definedName name="MV01.">#REF!</definedName>
    <definedName name="MV02." localSheetId="1">'Pagos B&amp;C y PE'!$K$31:$K$62</definedName>
    <definedName name="MV02.">#REF!</definedName>
    <definedName name="MV03." localSheetId="1">'Pagos B&amp;C y PE'!$J$31:$J$62</definedName>
    <definedName name="MV03.">#REF!</definedName>
    <definedName name="MV04." localSheetId="1">'Pagos B&amp;C y PE'!$I$31:$I$62</definedName>
    <definedName name="MV04.">#REF!</definedName>
    <definedName name="MV05." localSheetId="1">'Pagos B&amp;C y PE'!$H$31:$H$51</definedName>
    <definedName name="MV05.">#REF!</definedName>
    <definedName name="NIVEL" localSheetId="1">#REF!</definedName>
    <definedName name="NIVEL">#REF!</definedName>
    <definedName name="Nov" localSheetId="0">Listas!$F$12:$AI$12</definedName>
    <definedName name="Nov">Listas!$F$12:$AI$12</definedName>
    <definedName name="Oct">Listas!$F$11:$AJ$11</definedName>
    <definedName name="OV_01." localSheetId="1">'Pagos B&amp;C y PE'!$B$5</definedName>
    <definedName name="OV_01.">#REF!</definedName>
    <definedName name="OV01." localSheetId="1">'Pagos B&amp;C y PE'!$G$31:$G$57</definedName>
    <definedName name="OV01.">#REF!</definedName>
    <definedName name="OV02." localSheetId="1">'Pagos B&amp;C y PE'!$F$31:$F$57</definedName>
    <definedName name="OV02.">#REF!</definedName>
    <definedName name="OV03." localSheetId="1">'Pagos B&amp;C y PE'!$E$31:$E$57</definedName>
    <definedName name="OV03.">#REF!</definedName>
    <definedName name="OV04." localSheetId="1">'Pagos B&amp;C y PE'!$D$31:$D$58</definedName>
    <definedName name="OV04.">#REF!</definedName>
    <definedName name="OV05." localSheetId="1">'Pagos B&amp;C y PE'!$C$31:$C$57</definedName>
    <definedName name="OV05.">#REF!</definedName>
    <definedName name="pag" localSheetId="1">#REF!</definedName>
    <definedName name="pag">#REF!</definedName>
    <definedName name="PC03.">'Pagos B&amp;C y PE'!$C$31:$C$35</definedName>
    <definedName name="PC04.">'Pagos B&amp;C y PE'!$E$31:$E$35</definedName>
    <definedName name="PC08.">'Pagos B&amp;C y PE'!$G$31:$G$35</definedName>
    <definedName name="PC09.">'Pagos B&amp;C y PE'!$I$31:$I$35</definedName>
    <definedName name="PC10.">'Pagos B&amp;C y PE'!$K$31:$K$35</definedName>
    <definedName name="PC11.">'Pagos B&amp;C y PE'!$L$31:$L$35</definedName>
    <definedName name="PEPINO" localSheetId="1">'Pagos B&amp;C y PE'!$AI$31:$AI$32</definedName>
    <definedName name="PF03.">'Pagos B&amp;C y PE'!$S$31:$S$35</definedName>
    <definedName name="PF04.">'Pagos B&amp;C y PE'!$T$31:$T$35</definedName>
    <definedName name="PF05.">'Pagos B&amp;C y PE'!$AN$31:$AN$35</definedName>
    <definedName name="PF08.">'Pagos B&amp;C y PE'!$U$31:$U$35</definedName>
    <definedName name="PF09.">'Pagos B&amp;C y PE'!$V$31:$V$35</definedName>
    <definedName name="PF10.">'Pagos B&amp;C y PE'!$W$31:$W$35</definedName>
    <definedName name="PF11.">'Pagos B&amp;C y PE'!$X$31:$X$35</definedName>
    <definedName name="PH03.">'Pagos B&amp;C y PE'!$AF$31:$AF$34</definedName>
    <definedName name="PH04.">'Pagos B&amp;C y PE'!$AG$31:$AG$34</definedName>
    <definedName name="PH08.">'Pagos B&amp;C y PE'!$AH$31:$AH$34</definedName>
    <definedName name="PH09.">'Pagos B&amp;C y PE'!$AI$31:$AI$34</definedName>
    <definedName name="PH10.">'Pagos B&amp;C y PE'!$AJ$31:$AJ$34</definedName>
    <definedName name="PH11.">'Pagos B&amp;C y PE'!$AK$31:$AK$34</definedName>
    <definedName name="PM10.">#REF!</definedName>
    <definedName name="PM109.">#REF!</definedName>
    <definedName name="PM110.">#REF!</definedName>
    <definedName name="PN03.">'Pagos B&amp;C y PE'!$D$31:$D$35</definedName>
    <definedName name="PN04.">'Pagos B&amp;C y PE'!$F$31:$F$35</definedName>
    <definedName name="PN08.">'Pagos B&amp;C y PE'!$H$31:$H$35</definedName>
    <definedName name="PN09.">'Pagos B&amp;C y PE'!$J$31:$J$35</definedName>
    <definedName name="PN10.">'Pagos B&amp;C y PE'!$M$31:$M$35</definedName>
    <definedName name="pozo" localSheetId="1">[1]Listas!#REF!</definedName>
    <definedName name="pozo">[1]Listas!#REF!</definedName>
    <definedName name="pozos" localSheetId="1">#REF!</definedName>
    <definedName name="pp" localSheetId="1">#REF!</definedName>
    <definedName name="pp">#REF!</definedName>
    <definedName name="PR" localSheetId="1">#REF!</definedName>
    <definedName name="PR">#REF!</definedName>
    <definedName name="PRI" localSheetId="1">#REF!</definedName>
    <definedName name="PRI">#REF!</definedName>
    <definedName name="PRIM" localSheetId="1">#REF!</definedName>
    <definedName name="PRIM">#REF!</definedName>
    <definedName name="PRIMA" localSheetId="1">#REF!</definedName>
    <definedName name="PRIMA">#REF!</definedName>
    <definedName name="PRIMERAQNA" localSheetId="1">#REF!</definedName>
    <definedName name="PRIMERAQNA">#REF!</definedName>
    <definedName name="PRINA" localSheetId="1">#REF!</definedName>
    <definedName name="PRINA">#REF!</definedName>
    <definedName name="_xlnm.Print_Area" localSheetId="3">COP!$A$1:$M$40</definedName>
    <definedName name="Print_Area_MI" localSheetId="1">#REF!</definedName>
    <definedName name="Print_Area_MI">#REF!</definedName>
    <definedName name="PRO" localSheetId="1">#REF!</definedName>
    <definedName name="PRO">#REF!</definedName>
    <definedName name="PSL">Listas!$B$2:$B$11</definedName>
    <definedName name="PSLs" localSheetId="0">Listas!$B$2:$B$11</definedName>
    <definedName name="PSLs" localSheetId="1">#REF!</definedName>
    <definedName name="PSLs">[3]Listas!$B$2:$B$19</definedName>
    <definedName name="QM" localSheetId="1">#REF!</definedName>
    <definedName name="QM">#REF!</definedName>
    <definedName name="QP" localSheetId="1">#REF!</definedName>
    <definedName name="QP">#REF!</definedName>
    <definedName name="QQ" localSheetId="1">#REF!</definedName>
    <definedName name="QQ">#REF!</definedName>
    <definedName name="R__4" localSheetId="1">'Pagos B&amp;C y PE'!#REF!</definedName>
    <definedName name="R__4">#REF!</definedName>
    <definedName name="R__5" localSheetId="1">'Pagos B&amp;C y PE'!#REF!</definedName>
    <definedName name="R__5">#REF!</definedName>
    <definedName name="R__50" localSheetId="1">'Pagos B&amp;C y PE'!#REF!</definedName>
    <definedName name="R__50">#REF!</definedName>
    <definedName name="RELAAPORISS" localSheetId="1">#REF!</definedName>
    <definedName name="RELAAPORISS">#REF!</definedName>
    <definedName name="RELAPORPROT" localSheetId="1">#REF!</definedName>
    <definedName name="RELAPORPROT">#REF!</definedName>
    <definedName name="ROC" localSheetId="1">[1]COP!#REF!</definedName>
    <definedName name="ROC">[1]COP!#REF!</definedName>
    <definedName name="RR" localSheetId="1">#REF!</definedName>
    <definedName name="RR">#REF!</definedName>
    <definedName name="RT" localSheetId="1">#REF!</definedName>
    <definedName name="RT">#REF!</definedName>
    <definedName name="RTC_s" localSheetId="1">'Pagos B&amp;C y PE'!$A$80:$A$81</definedName>
    <definedName name="RTC_s">#REF!</definedName>
    <definedName name="RTEFTE" localSheetId="1">#REF!</definedName>
    <definedName name="RTEFTE">#REF!</definedName>
    <definedName name="S2_01" localSheetId="1">'Pagos B&amp;C y PE'!#REF!</definedName>
    <definedName name="S2_01">#REF!</definedName>
    <definedName name="salario" localSheetId="1">#REF!</definedName>
    <definedName name="salario">#REF!</definedName>
    <definedName name="SALDO" localSheetId="1">#REF!</definedName>
    <definedName name="SALDO">#REF!</definedName>
    <definedName name="SALINF" localSheetId="1">#REF!</definedName>
    <definedName name="SALINF">#REF!</definedName>
    <definedName name="SAP" localSheetId="1">[1]SAP!$A$2:$A$120</definedName>
    <definedName name="SAP" localSheetId="4">'SAPlist '!$A$3:$A$139</definedName>
    <definedName name="SAP">#REF!</definedName>
    <definedName name="SAPTABLE" localSheetId="4">'SAPlist '!$A$3:$F$138</definedName>
    <definedName name="SAPTABLE">#REF!</definedName>
    <definedName name="SEGUNDAQNA" localSheetId="1">#REF!</definedName>
    <definedName name="SEGUNDAQNA">#REF!</definedName>
    <definedName name="Sep">Listas!$F$10:$AI$10</definedName>
    <definedName name="SEPT" localSheetId="1">#REF!</definedName>
    <definedName name="SEPT">#REF!</definedName>
    <definedName name="siono">COP!#REF!</definedName>
    <definedName name="SL" localSheetId="1">#REF!</definedName>
    <definedName name="SL">#REF!</definedName>
    <definedName name="solono">COP!#REF!</definedName>
    <definedName name="SPERRY" localSheetId="0">Listas!$C$2:$C$16</definedName>
    <definedName name="SPERRY_DRILLING">Listas!$C$2:$C$16</definedName>
    <definedName name="SS" localSheetId="1">#REF!</definedName>
    <definedName name="SS">#REF!</definedName>
    <definedName name="ST01." localSheetId="1">'Pagos B&amp;C y PE'!$V$31:$V$58</definedName>
    <definedName name="ST01.">#REF!</definedName>
    <definedName name="ST02." localSheetId="1">'Pagos B&amp;C y PE'!$U$31:$U$58</definedName>
    <definedName name="ST02.">#REF!</definedName>
    <definedName name="ST03." localSheetId="1">'Pagos B&amp;C y PE'!$T$31:$T$57</definedName>
    <definedName name="ST03.">#REF!</definedName>
    <definedName name="ST04." localSheetId="1">'Pagos B&amp;C y PE'!$S$31:$S$58</definedName>
    <definedName name="ST04.">#REF!</definedName>
    <definedName name="SUELDO" localSheetId="1">#REF!</definedName>
    <definedName name="SUELDO">#REF!</definedName>
    <definedName name="T600." localSheetId="1">'Pagos B&amp;C y PE'!$Q$31:$Q$34</definedName>
    <definedName name="T600.">#REF!</definedName>
    <definedName name="T601." localSheetId="1">'Pagos B&amp;C y PE'!$R$31:$R$34</definedName>
    <definedName name="T601.">#REF!</definedName>
    <definedName name="T602." localSheetId="1">'Pagos B&amp;C y PE'!$S$31:$S$34</definedName>
    <definedName name="T602.">#REF!</definedName>
    <definedName name="T603." localSheetId="1">'Pagos B&amp;C y PE'!$T$31:$T$34</definedName>
    <definedName name="T603.">#REF!</definedName>
    <definedName name="T604." localSheetId="1">'Pagos B&amp;C y PE'!$U$31:$U$34</definedName>
    <definedName name="T604.">#REF!</definedName>
    <definedName name="T605." localSheetId="1">'Pagos B&amp;C y PE'!$V$31:$V$34</definedName>
    <definedName name="T605.">#REF!</definedName>
    <definedName name="T606." localSheetId="1">'Pagos B&amp;C y PE'!$AM$31:$AM$35</definedName>
    <definedName name="T606.">#REF!</definedName>
    <definedName name="T607." localSheetId="1">'Pagos B&amp;C y PE'!$Y$31:$Y$34</definedName>
    <definedName name="T607.">#REF!</definedName>
    <definedName name="T608." localSheetId="1">'Pagos B&amp;C y PE'!$AE$31:$AE$35</definedName>
    <definedName name="T608.">#REF!</definedName>
    <definedName name="T609." localSheetId="1">'Pagos B&amp;C y PE'!$AA$31:$AA$34</definedName>
    <definedName name="T609.">#REF!</definedName>
    <definedName name="T610." localSheetId="1">'Pagos B&amp;C y PE'!$AC$31:$AC$35</definedName>
    <definedName name="T610.">'Pagos B&amp;C y PE'!$AC$31:$AC$35</definedName>
    <definedName name="T611." localSheetId="1">'Pagos B&amp;C y PE'!$AB$31:$AB$35</definedName>
    <definedName name="T611.">'Pagos B&amp;C y PE'!$AB$31:$AB$35</definedName>
    <definedName name="TIPO" localSheetId="1">#REF!</definedName>
    <definedName name="TIPO">#REF!</definedName>
    <definedName name="TipoBono">COP!$I$11:$I$29</definedName>
    <definedName name="TN" localSheetId="1">#REF!</definedName>
    <definedName name="TN">#REF!</definedName>
    <definedName name="TT" localSheetId="1">#REF!</definedName>
    <definedName name="TT">#REF!</definedName>
    <definedName name="UU" localSheetId="1">#REF!</definedName>
    <definedName name="UU">#REF!</definedName>
    <definedName name="VA" localSheetId="1">#REF!</definedName>
    <definedName name="VA">#REF!</definedName>
    <definedName name="VAC" localSheetId="1">#REF!</definedName>
    <definedName name="VAC">#REF!</definedName>
    <definedName name="VACA" localSheetId="1">#REF!</definedName>
    <definedName name="VACA">#REF!</definedName>
    <definedName name="VACACION" localSheetId="1">#REF!</definedName>
    <definedName name="VACACION">#REF!</definedName>
    <definedName name="vacaciones" localSheetId="1">#REF!</definedName>
    <definedName name="vacaciones">#REF!</definedName>
    <definedName name="VACAS" localSheetId="1">#REF!</definedName>
    <definedName name="VACAS">#REF!</definedName>
    <definedName name="VI" localSheetId="1">#REF!</definedName>
    <definedName name="VI">#REF!</definedName>
    <definedName name="VV" localSheetId="1">#REF!</definedName>
    <definedName name="VV">#REF!</definedName>
    <definedName name="WW" localSheetId="1">#REF!</definedName>
    <definedName name="WW">#REF!</definedName>
    <definedName name="XC" localSheetId="1">#REF!</definedName>
    <definedName name="XC">#REF!</definedName>
    <definedName name="YESID" localSheetId="1">#REF!</definedName>
    <definedName name="YESID">#REF!</definedName>
    <definedName name="yy" localSheetId="1">#REF!</definedName>
    <definedName name="yy">#REF!</definedName>
    <definedName name="ZZ" localSheetId="1">#REF!</definedName>
    <definedName name="ZZ">#REF!</definedName>
    <definedName name="ZZ03.">#REF!</definedName>
    <definedName name="ZZ04.">#REF!</definedName>
    <definedName name="ZZ04..">#REF!</definedName>
    <definedName name="ZZ08.">#REF!</definedName>
    <definedName name="ZZ09.">#REF!</definedName>
    <definedName name="ZZ10.">#REF!</definedName>
    <definedName name="ZZ11.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" i="9" l="1"/>
  <c r="H20" i="9"/>
  <c r="H19" i="9"/>
  <c r="H18" i="9"/>
  <c r="H17" i="9"/>
  <c r="H16" i="9"/>
  <c r="H15" i="9"/>
  <c r="H14" i="9"/>
  <c r="H13" i="9"/>
  <c r="H12" i="9"/>
  <c r="H11" i="9"/>
  <c r="F225" i="16" l="1"/>
  <c r="F224" i="16"/>
  <c r="F223" i="16"/>
  <c r="F222" i="16"/>
  <c r="F221" i="16"/>
  <c r="F220" i="16"/>
  <c r="F219" i="16"/>
  <c r="F218" i="16"/>
  <c r="F217" i="16"/>
  <c r="F216" i="16"/>
  <c r="F215" i="16"/>
  <c r="F214" i="16"/>
  <c r="F213" i="16"/>
  <c r="F212" i="16"/>
  <c r="F211" i="16"/>
  <c r="F210" i="16"/>
  <c r="F209" i="16"/>
  <c r="F208" i="16"/>
  <c r="F207" i="16"/>
  <c r="F206" i="16"/>
  <c r="F205" i="16"/>
  <c r="F204" i="16"/>
  <c r="F203" i="16"/>
  <c r="F202" i="16"/>
  <c r="F201" i="16"/>
  <c r="F200" i="16"/>
  <c r="F199" i="16"/>
  <c r="F198" i="16"/>
  <c r="F197" i="16"/>
  <c r="F196" i="16"/>
  <c r="F195" i="16"/>
  <c r="F194" i="16"/>
  <c r="F193" i="16"/>
  <c r="F192" i="16"/>
  <c r="F191" i="16"/>
  <c r="F190" i="16"/>
  <c r="F189" i="16"/>
  <c r="F188" i="16"/>
  <c r="F187" i="16"/>
  <c r="F186" i="16"/>
  <c r="F185" i="16"/>
  <c r="F184" i="16"/>
  <c r="F183" i="16"/>
  <c r="F182" i="16"/>
  <c r="F181" i="16"/>
  <c r="F180" i="16"/>
  <c r="F179" i="16"/>
  <c r="F178" i="16"/>
  <c r="F177" i="16"/>
  <c r="F176" i="16"/>
  <c r="F175" i="16"/>
  <c r="F174" i="16"/>
  <c r="F173" i="16"/>
  <c r="F172" i="16"/>
  <c r="F171" i="16"/>
  <c r="F170" i="16"/>
  <c r="F169" i="16"/>
  <c r="F168" i="16"/>
  <c r="F167" i="16"/>
  <c r="F166" i="16"/>
  <c r="F165" i="16"/>
  <c r="F164" i="16"/>
  <c r="F163" i="16"/>
  <c r="F162" i="16"/>
  <c r="F161" i="16"/>
  <c r="F160" i="16"/>
  <c r="F159" i="16"/>
  <c r="F158" i="16"/>
  <c r="F157" i="16"/>
  <c r="F156" i="16"/>
  <c r="F155" i="16"/>
  <c r="F154" i="16"/>
  <c r="F153" i="16"/>
  <c r="F152" i="16"/>
  <c r="F151" i="16"/>
  <c r="F150" i="16"/>
  <c r="F149" i="16"/>
  <c r="F148" i="16"/>
  <c r="F147" i="16"/>
  <c r="F146" i="16"/>
  <c r="F145" i="16"/>
  <c r="F144" i="16"/>
  <c r="F143" i="16"/>
  <c r="F142" i="16"/>
  <c r="F141" i="16"/>
  <c r="F140" i="16"/>
  <c r="F139" i="16"/>
  <c r="F138" i="16"/>
  <c r="F137" i="16"/>
  <c r="F136" i="16"/>
  <c r="F135" i="16"/>
  <c r="F134" i="16"/>
  <c r="F133" i="16"/>
  <c r="F132" i="16"/>
  <c r="F131" i="16"/>
  <c r="F130" i="16"/>
  <c r="F129" i="16"/>
  <c r="F128" i="16"/>
  <c r="F127" i="16"/>
  <c r="F126" i="16"/>
  <c r="F125" i="16"/>
  <c r="F124" i="16"/>
  <c r="F123" i="16"/>
  <c r="F122" i="16"/>
  <c r="F121" i="16"/>
  <c r="F120" i="16"/>
  <c r="F119" i="16"/>
  <c r="F118" i="16"/>
  <c r="F117" i="16"/>
  <c r="F116" i="16"/>
  <c r="F115" i="16"/>
  <c r="F114" i="16"/>
  <c r="F113" i="16"/>
  <c r="F112" i="16"/>
  <c r="F111" i="16"/>
  <c r="F110" i="16"/>
  <c r="F109" i="16"/>
  <c r="F108" i="16"/>
  <c r="F107" i="16"/>
  <c r="F106" i="16"/>
  <c r="F105" i="16"/>
  <c r="F104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BW41" i="8"/>
  <c r="AN41" i="8"/>
  <c r="G41" i="8"/>
  <c r="F41" i="8"/>
  <c r="I41" i="8" s="1"/>
  <c r="J41" i="8" s="1"/>
  <c r="K41" i="8" s="1"/>
  <c r="L41" i="8" s="1"/>
  <c r="M41" i="8" s="1"/>
  <c r="N41" i="8" s="1"/>
  <c r="O41" i="8" s="1"/>
  <c r="P41" i="8" s="1"/>
  <c r="Q41" i="8" s="1"/>
  <c r="R41" i="8" s="1"/>
  <c r="S41" i="8" s="1"/>
  <c r="T41" i="8" s="1"/>
  <c r="U41" i="8" s="1"/>
  <c r="V41" i="8" s="1"/>
  <c r="W41" i="8" s="1"/>
  <c r="X41" i="8" s="1"/>
  <c r="Y41" i="8" s="1"/>
  <c r="Z41" i="8" s="1"/>
  <c r="AA41" i="8" s="1"/>
  <c r="AB41" i="8" s="1"/>
  <c r="AC41" i="8" s="1"/>
  <c r="AD41" i="8" s="1"/>
  <c r="AE41" i="8" s="1"/>
  <c r="AF41" i="8" s="1"/>
  <c r="AG41" i="8" s="1"/>
  <c r="AH41" i="8" s="1"/>
  <c r="AI41" i="8" s="1"/>
  <c r="AJ41" i="8" s="1"/>
  <c r="AK41" i="8" s="1"/>
  <c r="AL41" i="8" s="1"/>
  <c r="AM41" i="8" s="1"/>
  <c r="BW40" i="8"/>
  <c r="AN40" i="8"/>
  <c r="G40" i="8"/>
  <c r="F40" i="8"/>
  <c r="BW39" i="8"/>
  <c r="AN39" i="8"/>
  <c r="G39" i="8"/>
  <c r="F39" i="8"/>
  <c r="AR39" i="8" s="1"/>
  <c r="BW38" i="8"/>
  <c r="AN38" i="8"/>
  <c r="G38" i="8"/>
  <c r="F38" i="8"/>
  <c r="BW37" i="8"/>
  <c r="AN37" i="8"/>
  <c r="I37" i="8"/>
  <c r="G37" i="8"/>
  <c r="F37" i="8"/>
  <c r="AR37" i="8" s="1"/>
  <c r="BW36" i="8"/>
  <c r="AN36" i="8"/>
  <c r="G36" i="8"/>
  <c r="F36" i="8"/>
  <c r="I36" i="8" s="1"/>
  <c r="BW35" i="8"/>
  <c r="AR35" i="8"/>
  <c r="AN35" i="8"/>
  <c r="G35" i="8"/>
  <c r="F35" i="8"/>
  <c r="I35" i="8" s="1"/>
  <c r="BW34" i="8"/>
  <c r="AN34" i="8"/>
  <c r="G34" i="8"/>
  <c r="F34" i="8"/>
  <c r="BW33" i="8"/>
  <c r="AN33" i="8"/>
  <c r="G33" i="8"/>
  <c r="F33" i="8"/>
  <c r="BW32" i="8"/>
  <c r="AN32" i="8"/>
  <c r="G32" i="8"/>
  <c r="F32" i="8"/>
  <c r="I32" i="8" s="1"/>
  <c r="BW31" i="8"/>
  <c r="AN31" i="8"/>
  <c r="G31" i="8"/>
  <c r="F31" i="8"/>
  <c r="AR31" i="8" s="1"/>
  <c r="BW30" i="8"/>
  <c r="AN30" i="8"/>
  <c r="G30" i="8"/>
  <c r="F30" i="8"/>
  <c r="BW29" i="8"/>
  <c r="AN29" i="8"/>
  <c r="G29" i="8"/>
  <c r="F29" i="8"/>
  <c r="AR29" i="8" s="1"/>
  <c r="BW28" i="8"/>
  <c r="AN28" i="8"/>
  <c r="G28" i="8"/>
  <c r="F28" i="8"/>
  <c r="AR28" i="8" s="1"/>
  <c r="BW27" i="8"/>
  <c r="AN27" i="8"/>
  <c r="G27" i="8"/>
  <c r="F27" i="8"/>
  <c r="BW26" i="8"/>
  <c r="AN26" i="8"/>
  <c r="G26" i="8"/>
  <c r="F26" i="8"/>
  <c r="I26" i="8" s="1"/>
  <c r="BW25" i="8"/>
  <c r="AN25" i="8"/>
  <c r="G25" i="8"/>
  <c r="F25" i="8"/>
  <c r="BW24" i="8"/>
  <c r="AN24" i="8"/>
  <c r="G24" i="8"/>
  <c r="F24" i="8"/>
  <c r="I24" i="8" s="1"/>
  <c r="BW23" i="8"/>
  <c r="AN23" i="8"/>
  <c r="G23" i="8"/>
  <c r="F23" i="8"/>
  <c r="AQ22" i="8"/>
  <c r="H22" i="8"/>
  <c r="BO22" i="8" s="1"/>
  <c r="AS31" i="8" l="1"/>
  <c r="AT31" i="8" s="1"/>
  <c r="AU31" i="8" s="1"/>
  <c r="AV31" i="8" s="1"/>
  <c r="AW31" i="8" s="1"/>
  <c r="AX31" i="8" s="1"/>
  <c r="AY31" i="8" s="1"/>
  <c r="AZ31" i="8" s="1"/>
  <c r="BA31" i="8" s="1"/>
  <c r="BB31" i="8" s="1"/>
  <c r="BC31" i="8" s="1"/>
  <c r="BD31" i="8" s="1"/>
  <c r="BE31" i="8" s="1"/>
  <c r="BF31" i="8" s="1"/>
  <c r="BG31" i="8" s="1"/>
  <c r="BH31" i="8" s="1"/>
  <c r="BI31" i="8" s="1"/>
  <c r="BJ31" i="8" s="1"/>
  <c r="BK31" i="8" s="1"/>
  <c r="BL31" i="8" s="1"/>
  <c r="BM31" i="8" s="1"/>
  <c r="BN31" i="8" s="1"/>
  <c r="BO31" i="8" s="1"/>
  <c r="BP31" i="8" s="1"/>
  <c r="BQ31" i="8" s="1"/>
  <c r="BR31" i="8" s="1"/>
  <c r="BS31" i="8" s="1"/>
  <c r="BT31" i="8" s="1"/>
  <c r="BU31" i="8" s="1"/>
  <c r="BV31" i="8" s="1"/>
  <c r="I23" i="8"/>
  <c r="J23" i="8" s="1"/>
  <c r="K23" i="8" s="1"/>
  <c r="AR26" i="8"/>
  <c r="J37" i="8"/>
  <c r="K37" i="8" s="1"/>
  <c r="L37" i="8" s="1"/>
  <c r="M37" i="8" s="1"/>
  <c r="N37" i="8" s="1"/>
  <c r="O37" i="8" s="1"/>
  <c r="P37" i="8" s="1"/>
  <c r="Q37" i="8" s="1"/>
  <c r="R37" i="8" s="1"/>
  <c r="S37" i="8" s="1"/>
  <c r="T37" i="8" s="1"/>
  <c r="U37" i="8" s="1"/>
  <c r="V37" i="8" s="1"/>
  <c r="W37" i="8" s="1"/>
  <c r="X37" i="8" s="1"/>
  <c r="Y37" i="8" s="1"/>
  <c r="Z37" i="8" s="1"/>
  <c r="AA37" i="8" s="1"/>
  <c r="AB37" i="8" s="1"/>
  <c r="AC37" i="8" s="1"/>
  <c r="AD37" i="8" s="1"/>
  <c r="AE37" i="8" s="1"/>
  <c r="AF37" i="8" s="1"/>
  <c r="AG37" i="8" s="1"/>
  <c r="AH37" i="8" s="1"/>
  <c r="AI37" i="8" s="1"/>
  <c r="AJ37" i="8" s="1"/>
  <c r="AK37" i="8" s="1"/>
  <c r="AL37" i="8" s="1"/>
  <c r="AM37" i="8" s="1"/>
  <c r="J22" i="8"/>
  <c r="W22" i="8"/>
  <c r="AS29" i="8"/>
  <c r="AT29" i="8" s="1"/>
  <c r="AU29" i="8" s="1"/>
  <c r="AV29" i="8" s="1"/>
  <c r="AW29" i="8" s="1"/>
  <c r="AX29" i="8" s="1"/>
  <c r="AY29" i="8" s="1"/>
  <c r="AZ29" i="8" s="1"/>
  <c r="BA29" i="8" s="1"/>
  <c r="BB29" i="8" s="1"/>
  <c r="BC29" i="8" s="1"/>
  <c r="BD29" i="8" s="1"/>
  <c r="BE29" i="8" s="1"/>
  <c r="BF29" i="8" s="1"/>
  <c r="BG29" i="8" s="1"/>
  <c r="BH29" i="8" s="1"/>
  <c r="BI29" i="8" s="1"/>
  <c r="BJ29" i="8" s="1"/>
  <c r="BK29" i="8" s="1"/>
  <c r="BL29" i="8" s="1"/>
  <c r="BM29" i="8" s="1"/>
  <c r="BN29" i="8" s="1"/>
  <c r="BO29" i="8" s="1"/>
  <c r="BP29" i="8" s="1"/>
  <c r="BQ29" i="8" s="1"/>
  <c r="BR29" i="8" s="1"/>
  <c r="BS29" i="8" s="1"/>
  <c r="BT29" i="8" s="1"/>
  <c r="BU29" i="8" s="1"/>
  <c r="BV29" i="8" s="1"/>
  <c r="AR41" i="8"/>
  <c r="AS41" i="8" s="1"/>
  <c r="AT41" i="8" s="1"/>
  <c r="AU41" i="8" s="1"/>
  <c r="AV41" i="8" s="1"/>
  <c r="AW41" i="8" s="1"/>
  <c r="AX41" i="8" s="1"/>
  <c r="AY41" i="8" s="1"/>
  <c r="AZ41" i="8" s="1"/>
  <c r="BA41" i="8" s="1"/>
  <c r="BB41" i="8" s="1"/>
  <c r="BC41" i="8" s="1"/>
  <c r="BD41" i="8" s="1"/>
  <c r="BE41" i="8" s="1"/>
  <c r="BF41" i="8" s="1"/>
  <c r="BG41" i="8" s="1"/>
  <c r="BH41" i="8" s="1"/>
  <c r="BI41" i="8" s="1"/>
  <c r="BJ41" i="8" s="1"/>
  <c r="BK41" i="8" s="1"/>
  <c r="BL41" i="8" s="1"/>
  <c r="BM41" i="8" s="1"/>
  <c r="BN41" i="8" s="1"/>
  <c r="BO41" i="8" s="1"/>
  <c r="BP41" i="8" s="1"/>
  <c r="BQ41" i="8" s="1"/>
  <c r="BR41" i="8" s="1"/>
  <c r="BS41" i="8" s="1"/>
  <c r="BT41" i="8" s="1"/>
  <c r="BU41" i="8" s="1"/>
  <c r="BV41" i="8" s="1"/>
  <c r="I29" i="8"/>
  <c r="J29" i="8" s="1"/>
  <c r="K29" i="8" s="1"/>
  <c r="L29" i="8" s="1"/>
  <c r="M29" i="8" s="1"/>
  <c r="N29" i="8" s="1"/>
  <c r="O29" i="8" s="1"/>
  <c r="P29" i="8" s="1"/>
  <c r="Q29" i="8" s="1"/>
  <c r="R29" i="8" s="1"/>
  <c r="S29" i="8" s="1"/>
  <c r="T29" i="8" s="1"/>
  <c r="U29" i="8" s="1"/>
  <c r="V29" i="8" s="1"/>
  <c r="W29" i="8" s="1"/>
  <c r="X29" i="8" s="1"/>
  <c r="Y29" i="8" s="1"/>
  <c r="Z29" i="8" s="1"/>
  <c r="AA29" i="8" s="1"/>
  <c r="AB29" i="8" s="1"/>
  <c r="AC29" i="8" s="1"/>
  <c r="AD29" i="8" s="1"/>
  <c r="AE29" i="8" s="1"/>
  <c r="AF29" i="8" s="1"/>
  <c r="AG29" i="8" s="1"/>
  <c r="AH29" i="8" s="1"/>
  <c r="AI29" i="8" s="1"/>
  <c r="AJ29" i="8" s="1"/>
  <c r="AK29" i="8" s="1"/>
  <c r="AL29" i="8" s="1"/>
  <c r="AM29" i="8" s="1"/>
  <c r="AX22" i="8"/>
  <c r="AS26" i="8"/>
  <c r="AT26" i="8" s="1"/>
  <c r="AU26" i="8" s="1"/>
  <c r="AV26" i="8" s="1"/>
  <c r="AW26" i="8" s="1"/>
  <c r="AX26" i="8" s="1"/>
  <c r="AY26" i="8" s="1"/>
  <c r="AZ26" i="8" s="1"/>
  <c r="BA26" i="8" s="1"/>
  <c r="BB26" i="8" s="1"/>
  <c r="BC26" i="8" s="1"/>
  <c r="BD26" i="8" s="1"/>
  <c r="BE26" i="8" s="1"/>
  <c r="BF26" i="8" s="1"/>
  <c r="BG26" i="8" s="1"/>
  <c r="BH26" i="8" s="1"/>
  <c r="BI26" i="8" s="1"/>
  <c r="BJ26" i="8" s="1"/>
  <c r="BK26" i="8" s="1"/>
  <c r="BL26" i="8" s="1"/>
  <c r="BM26" i="8" s="1"/>
  <c r="BN26" i="8" s="1"/>
  <c r="BO26" i="8" s="1"/>
  <c r="BP26" i="8" s="1"/>
  <c r="BQ26" i="8" s="1"/>
  <c r="BR26" i="8" s="1"/>
  <c r="BS26" i="8" s="1"/>
  <c r="BT26" i="8" s="1"/>
  <c r="BU26" i="8" s="1"/>
  <c r="BV26" i="8" s="1"/>
  <c r="I31" i="8"/>
  <c r="J31" i="8" s="1"/>
  <c r="K31" i="8" s="1"/>
  <c r="L31" i="8" s="1"/>
  <c r="M31" i="8" s="1"/>
  <c r="N31" i="8" s="1"/>
  <c r="O31" i="8" s="1"/>
  <c r="P31" i="8" s="1"/>
  <c r="Q31" i="8" s="1"/>
  <c r="R31" i="8" s="1"/>
  <c r="S31" i="8" s="1"/>
  <c r="T31" i="8" s="1"/>
  <c r="U31" i="8" s="1"/>
  <c r="V31" i="8" s="1"/>
  <c r="W31" i="8" s="1"/>
  <c r="X31" i="8" s="1"/>
  <c r="Y31" i="8" s="1"/>
  <c r="Z31" i="8" s="1"/>
  <c r="AA31" i="8" s="1"/>
  <c r="AB31" i="8" s="1"/>
  <c r="AC31" i="8" s="1"/>
  <c r="AD31" i="8" s="1"/>
  <c r="AE31" i="8" s="1"/>
  <c r="AF31" i="8" s="1"/>
  <c r="AG31" i="8" s="1"/>
  <c r="AH31" i="8" s="1"/>
  <c r="AI31" i="8" s="1"/>
  <c r="AJ31" i="8" s="1"/>
  <c r="AK31" i="8" s="1"/>
  <c r="AL31" i="8" s="1"/>
  <c r="AM31" i="8" s="1"/>
  <c r="AI22" i="8"/>
  <c r="BJ22" i="8"/>
  <c r="AR24" i="8"/>
  <c r="AS24" i="8" s="1"/>
  <c r="AT24" i="8" s="1"/>
  <c r="AU24" i="8" s="1"/>
  <c r="AV24" i="8" s="1"/>
  <c r="AW24" i="8" s="1"/>
  <c r="AX24" i="8" s="1"/>
  <c r="AY24" i="8" s="1"/>
  <c r="AZ24" i="8" s="1"/>
  <c r="BA24" i="8" s="1"/>
  <c r="BB24" i="8" s="1"/>
  <c r="BC24" i="8" s="1"/>
  <c r="BD24" i="8" s="1"/>
  <c r="BE24" i="8" s="1"/>
  <c r="BF24" i="8" s="1"/>
  <c r="BG24" i="8" s="1"/>
  <c r="BH24" i="8" s="1"/>
  <c r="BI24" i="8" s="1"/>
  <c r="BJ24" i="8" s="1"/>
  <c r="BK24" i="8" s="1"/>
  <c r="BL24" i="8" s="1"/>
  <c r="BM24" i="8" s="1"/>
  <c r="BN24" i="8" s="1"/>
  <c r="BO24" i="8" s="1"/>
  <c r="BP24" i="8" s="1"/>
  <c r="BQ24" i="8" s="1"/>
  <c r="BR24" i="8" s="1"/>
  <c r="BS24" i="8" s="1"/>
  <c r="BT24" i="8" s="1"/>
  <c r="BU24" i="8" s="1"/>
  <c r="BV24" i="8" s="1"/>
  <c r="AS37" i="8"/>
  <c r="AT37" i="8" s="1"/>
  <c r="AU37" i="8" s="1"/>
  <c r="AV37" i="8" s="1"/>
  <c r="AW37" i="8" s="1"/>
  <c r="AX37" i="8" s="1"/>
  <c r="AY37" i="8" s="1"/>
  <c r="AZ37" i="8" s="1"/>
  <c r="BA37" i="8" s="1"/>
  <c r="BB37" i="8" s="1"/>
  <c r="BC37" i="8" s="1"/>
  <c r="BD37" i="8" s="1"/>
  <c r="BE37" i="8" s="1"/>
  <c r="BF37" i="8" s="1"/>
  <c r="BG37" i="8" s="1"/>
  <c r="BH37" i="8" s="1"/>
  <c r="BI37" i="8" s="1"/>
  <c r="BJ37" i="8" s="1"/>
  <c r="BK37" i="8" s="1"/>
  <c r="BL37" i="8" s="1"/>
  <c r="BM37" i="8" s="1"/>
  <c r="BN37" i="8" s="1"/>
  <c r="BO37" i="8" s="1"/>
  <c r="BP37" i="8" s="1"/>
  <c r="BQ37" i="8" s="1"/>
  <c r="BR37" i="8" s="1"/>
  <c r="BS37" i="8" s="1"/>
  <c r="BT37" i="8" s="1"/>
  <c r="BU37" i="8" s="1"/>
  <c r="BV37" i="8" s="1"/>
  <c r="S22" i="8"/>
  <c r="AG22" i="8"/>
  <c r="AT22" i="8"/>
  <c r="BH22" i="8"/>
  <c r="BS22" i="8"/>
  <c r="I22" i="8"/>
  <c r="T22" i="8"/>
  <c r="AH22" i="8"/>
  <c r="AU22" i="8"/>
  <c r="BI22" i="8"/>
  <c r="BV22" i="8"/>
  <c r="J32" i="8"/>
  <c r="K32" i="8" s="1"/>
  <c r="L32" i="8" s="1"/>
  <c r="M32" i="8" s="1"/>
  <c r="N32" i="8" s="1"/>
  <c r="O32" i="8" s="1"/>
  <c r="P32" i="8" s="1"/>
  <c r="Q32" i="8" s="1"/>
  <c r="R32" i="8" s="1"/>
  <c r="S32" i="8" s="1"/>
  <c r="T32" i="8" s="1"/>
  <c r="U32" i="8" s="1"/>
  <c r="V32" i="8" s="1"/>
  <c r="W32" i="8" s="1"/>
  <c r="X32" i="8" s="1"/>
  <c r="Y32" i="8" s="1"/>
  <c r="Z32" i="8" s="1"/>
  <c r="AA32" i="8" s="1"/>
  <c r="AB32" i="8" s="1"/>
  <c r="AC32" i="8" s="1"/>
  <c r="AD32" i="8" s="1"/>
  <c r="AE32" i="8" s="1"/>
  <c r="AF32" i="8" s="1"/>
  <c r="AG32" i="8" s="1"/>
  <c r="AH32" i="8" s="1"/>
  <c r="AI32" i="8" s="1"/>
  <c r="AJ32" i="8" s="1"/>
  <c r="AK32" i="8" s="1"/>
  <c r="AL32" i="8" s="1"/>
  <c r="AM32" i="8" s="1"/>
  <c r="K22" i="8"/>
  <c r="AZ22" i="8"/>
  <c r="J26" i="8"/>
  <c r="K26" i="8" s="1"/>
  <c r="L26" i="8" s="1"/>
  <c r="M26" i="8" s="1"/>
  <c r="N26" i="8" s="1"/>
  <c r="O26" i="8" s="1"/>
  <c r="P26" i="8" s="1"/>
  <c r="Q26" i="8" s="1"/>
  <c r="R26" i="8" s="1"/>
  <c r="S26" i="8" s="1"/>
  <c r="T26" i="8" s="1"/>
  <c r="U26" i="8" s="1"/>
  <c r="V26" i="8" s="1"/>
  <c r="W26" i="8" s="1"/>
  <c r="X26" i="8" s="1"/>
  <c r="Y26" i="8" s="1"/>
  <c r="Z26" i="8" s="1"/>
  <c r="AA26" i="8" s="1"/>
  <c r="AB26" i="8" s="1"/>
  <c r="AC26" i="8" s="1"/>
  <c r="AD26" i="8" s="1"/>
  <c r="AE26" i="8" s="1"/>
  <c r="AF26" i="8" s="1"/>
  <c r="AG26" i="8" s="1"/>
  <c r="AH26" i="8" s="1"/>
  <c r="AI26" i="8" s="1"/>
  <c r="AJ26" i="8" s="1"/>
  <c r="AK26" i="8" s="1"/>
  <c r="AL26" i="8" s="1"/>
  <c r="AM26" i="8" s="1"/>
  <c r="L22" i="8"/>
  <c r="Z22" i="8"/>
  <c r="AM22" i="8"/>
  <c r="BA22" i="8"/>
  <c r="BN22" i="8"/>
  <c r="AS28" i="8"/>
  <c r="AT28" i="8" s="1"/>
  <c r="AU28" i="8" s="1"/>
  <c r="AV28" i="8" s="1"/>
  <c r="AW28" i="8" s="1"/>
  <c r="AX28" i="8" s="1"/>
  <c r="AY28" i="8" s="1"/>
  <c r="AZ28" i="8" s="1"/>
  <c r="BA28" i="8" s="1"/>
  <c r="BB28" i="8" s="1"/>
  <c r="BC28" i="8" s="1"/>
  <c r="BD28" i="8" s="1"/>
  <c r="BE28" i="8" s="1"/>
  <c r="BF28" i="8" s="1"/>
  <c r="BG28" i="8" s="1"/>
  <c r="BH28" i="8" s="1"/>
  <c r="BI28" i="8" s="1"/>
  <c r="BJ28" i="8" s="1"/>
  <c r="BK28" i="8" s="1"/>
  <c r="BL28" i="8" s="1"/>
  <c r="BM28" i="8" s="1"/>
  <c r="BN28" i="8" s="1"/>
  <c r="BO28" i="8" s="1"/>
  <c r="BP28" i="8" s="1"/>
  <c r="BQ28" i="8" s="1"/>
  <c r="BR28" i="8" s="1"/>
  <c r="BS28" i="8" s="1"/>
  <c r="BT28" i="8" s="1"/>
  <c r="BU28" i="8" s="1"/>
  <c r="BV28" i="8" s="1"/>
  <c r="AR32" i="8"/>
  <c r="AS32" i="8" s="1"/>
  <c r="AT32" i="8" s="1"/>
  <c r="AU32" i="8" s="1"/>
  <c r="AV32" i="8" s="1"/>
  <c r="AW32" i="8" s="1"/>
  <c r="AX32" i="8" s="1"/>
  <c r="AY32" i="8" s="1"/>
  <c r="AZ32" i="8" s="1"/>
  <c r="BA32" i="8" s="1"/>
  <c r="BB32" i="8" s="1"/>
  <c r="BC32" i="8" s="1"/>
  <c r="BD32" i="8" s="1"/>
  <c r="BE32" i="8" s="1"/>
  <c r="BF32" i="8" s="1"/>
  <c r="BG32" i="8" s="1"/>
  <c r="BH32" i="8" s="1"/>
  <c r="BI32" i="8" s="1"/>
  <c r="BJ32" i="8" s="1"/>
  <c r="BK32" i="8" s="1"/>
  <c r="BL32" i="8" s="1"/>
  <c r="BM32" i="8" s="1"/>
  <c r="BN32" i="8" s="1"/>
  <c r="BO32" i="8" s="1"/>
  <c r="BP32" i="8" s="1"/>
  <c r="BQ32" i="8" s="1"/>
  <c r="BR32" i="8" s="1"/>
  <c r="BS32" i="8" s="1"/>
  <c r="BT32" i="8" s="1"/>
  <c r="BU32" i="8" s="1"/>
  <c r="BV32" i="8" s="1"/>
  <c r="J36" i="8"/>
  <c r="K36" i="8" s="1"/>
  <c r="L36" i="8" s="1"/>
  <c r="M36" i="8" s="1"/>
  <c r="N36" i="8" s="1"/>
  <c r="O36" i="8" s="1"/>
  <c r="P36" i="8" s="1"/>
  <c r="Q36" i="8" s="1"/>
  <c r="R36" i="8" s="1"/>
  <c r="S36" i="8" s="1"/>
  <c r="T36" i="8" s="1"/>
  <c r="U36" i="8" s="1"/>
  <c r="V36" i="8" s="1"/>
  <c r="W36" i="8" s="1"/>
  <c r="X36" i="8" s="1"/>
  <c r="Y36" i="8" s="1"/>
  <c r="Z36" i="8" s="1"/>
  <c r="AA36" i="8" s="1"/>
  <c r="AB36" i="8" s="1"/>
  <c r="AC36" i="8" s="1"/>
  <c r="AD36" i="8" s="1"/>
  <c r="AE36" i="8" s="1"/>
  <c r="AF36" i="8" s="1"/>
  <c r="AG36" i="8" s="1"/>
  <c r="AH36" i="8" s="1"/>
  <c r="AI36" i="8" s="1"/>
  <c r="AJ36" i="8" s="1"/>
  <c r="AK36" i="8" s="1"/>
  <c r="AL36" i="8" s="1"/>
  <c r="AM36" i="8" s="1"/>
  <c r="I39" i="8"/>
  <c r="J39" i="8" s="1"/>
  <c r="K39" i="8" s="1"/>
  <c r="L39" i="8" s="1"/>
  <c r="M39" i="8" s="1"/>
  <c r="N39" i="8" s="1"/>
  <c r="O39" i="8" s="1"/>
  <c r="P39" i="8" s="1"/>
  <c r="Q39" i="8" s="1"/>
  <c r="R39" i="8" s="1"/>
  <c r="S39" i="8" s="1"/>
  <c r="T39" i="8" s="1"/>
  <c r="U39" i="8" s="1"/>
  <c r="V39" i="8" s="1"/>
  <c r="W39" i="8" s="1"/>
  <c r="X39" i="8" s="1"/>
  <c r="Y39" i="8" s="1"/>
  <c r="Z39" i="8" s="1"/>
  <c r="AA39" i="8" s="1"/>
  <c r="AB39" i="8" s="1"/>
  <c r="AC39" i="8" s="1"/>
  <c r="AD39" i="8" s="1"/>
  <c r="AE39" i="8" s="1"/>
  <c r="AF39" i="8" s="1"/>
  <c r="AG39" i="8" s="1"/>
  <c r="AH39" i="8" s="1"/>
  <c r="AI39" i="8" s="1"/>
  <c r="AJ39" i="8" s="1"/>
  <c r="AK39" i="8" s="1"/>
  <c r="AL39" i="8" s="1"/>
  <c r="AM39" i="8" s="1"/>
  <c r="BP22" i="8"/>
  <c r="I28" i="8"/>
  <c r="Q22" i="8"/>
  <c r="AB22" i="8"/>
  <c r="AR22" i="8"/>
  <c r="BC22" i="8"/>
  <c r="BQ22" i="8"/>
  <c r="Y22" i="8"/>
  <c r="AJ22" i="8"/>
  <c r="BK22" i="8"/>
  <c r="O22" i="8"/>
  <c r="AA22" i="8"/>
  <c r="BB22" i="8"/>
  <c r="R22" i="8"/>
  <c r="AE22" i="8"/>
  <c r="AS22" i="8"/>
  <c r="BF22" i="8"/>
  <c r="BR22" i="8"/>
  <c r="J35" i="8"/>
  <c r="K35" i="8" s="1"/>
  <c r="L35" i="8" s="1"/>
  <c r="M35" i="8" s="1"/>
  <c r="N35" i="8" s="1"/>
  <c r="O35" i="8" s="1"/>
  <c r="P35" i="8" s="1"/>
  <c r="Q35" i="8" s="1"/>
  <c r="R35" i="8" s="1"/>
  <c r="S35" i="8" s="1"/>
  <c r="T35" i="8" s="1"/>
  <c r="U35" i="8" s="1"/>
  <c r="V35" i="8" s="1"/>
  <c r="W35" i="8" s="1"/>
  <c r="X35" i="8" s="1"/>
  <c r="Y35" i="8" s="1"/>
  <c r="Z35" i="8" s="1"/>
  <c r="AA35" i="8" s="1"/>
  <c r="AB35" i="8" s="1"/>
  <c r="AC35" i="8" s="1"/>
  <c r="AD35" i="8" s="1"/>
  <c r="AE35" i="8" s="1"/>
  <c r="AF35" i="8" s="1"/>
  <c r="AG35" i="8" s="1"/>
  <c r="AH35" i="8" s="1"/>
  <c r="AI35" i="8" s="1"/>
  <c r="AJ35" i="8" s="1"/>
  <c r="AK35" i="8" s="1"/>
  <c r="AL35" i="8" s="1"/>
  <c r="AM35" i="8" s="1"/>
  <c r="AR34" i="8"/>
  <c r="AS34" i="8" s="1"/>
  <c r="AT34" i="8" s="1"/>
  <c r="AU34" i="8" s="1"/>
  <c r="AV34" i="8" s="1"/>
  <c r="AW34" i="8" s="1"/>
  <c r="AX34" i="8" s="1"/>
  <c r="AY34" i="8" s="1"/>
  <c r="AZ34" i="8" s="1"/>
  <c r="BA34" i="8" s="1"/>
  <c r="BB34" i="8" s="1"/>
  <c r="BC34" i="8" s="1"/>
  <c r="BD34" i="8" s="1"/>
  <c r="BE34" i="8" s="1"/>
  <c r="BF34" i="8" s="1"/>
  <c r="BG34" i="8" s="1"/>
  <c r="BH34" i="8" s="1"/>
  <c r="BI34" i="8" s="1"/>
  <c r="BJ34" i="8" s="1"/>
  <c r="BK34" i="8" s="1"/>
  <c r="BL34" i="8" s="1"/>
  <c r="BM34" i="8" s="1"/>
  <c r="BN34" i="8" s="1"/>
  <c r="BO34" i="8" s="1"/>
  <c r="BP34" i="8" s="1"/>
  <c r="BQ34" i="8" s="1"/>
  <c r="BR34" i="8" s="1"/>
  <c r="BS34" i="8" s="1"/>
  <c r="BT34" i="8" s="1"/>
  <c r="BU34" i="8" s="1"/>
  <c r="BV34" i="8" s="1"/>
  <c r="I34" i="8"/>
  <c r="J34" i="8" s="1"/>
  <c r="K34" i="8" s="1"/>
  <c r="L34" i="8" s="1"/>
  <c r="M34" i="8" s="1"/>
  <c r="N34" i="8" s="1"/>
  <c r="O34" i="8" s="1"/>
  <c r="P34" i="8" s="1"/>
  <c r="Q34" i="8" s="1"/>
  <c r="R34" i="8" s="1"/>
  <c r="S34" i="8" s="1"/>
  <c r="T34" i="8" s="1"/>
  <c r="U34" i="8" s="1"/>
  <c r="V34" i="8" s="1"/>
  <c r="W34" i="8" s="1"/>
  <c r="X34" i="8" s="1"/>
  <c r="Y34" i="8" s="1"/>
  <c r="Z34" i="8" s="1"/>
  <c r="AA34" i="8" s="1"/>
  <c r="AB34" i="8" s="1"/>
  <c r="AC34" i="8" s="1"/>
  <c r="AD34" i="8" s="1"/>
  <c r="AE34" i="8" s="1"/>
  <c r="AF34" i="8" s="1"/>
  <c r="AG34" i="8" s="1"/>
  <c r="AH34" i="8" s="1"/>
  <c r="AI34" i="8" s="1"/>
  <c r="AJ34" i="8" s="1"/>
  <c r="AK34" i="8" s="1"/>
  <c r="AL34" i="8" s="1"/>
  <c r="AM34" i="8" s="1"/>
  <c r="AR33" i="8"/>
  <c r="AS33" i="8" s="1"/>
  <c r="AT33" i="8" s="1"/>
  <c r="AU33" i="8" s="1"/>
  <c r="AV33" i="8" s="1"/>
  <c r="AW33" i="8" s="1"/>
  <c r="AX33" i="8" s="1"/>
  <c r="AY33" i="8" s="1"/>
  <c r="AZ33" i="8" s="1"/>
  <c r="BA33" i="8" s="1"/>
  <c r="BB33" i="8" s="1"/>
  <c r="BC33" i="8" s="1"/>
  <c r="BD33" i="8" s="1"/>
  <c r="BE33" i="8" s="1"/>
  <c r="BF33" i="8" s="1"/>
  <c r="BG33" i="8" s="1"/>
  <c r="BH33" i="8" s="1"/>
  <c r="BI33" i="8" s="1"/>
  <c r="BJ33" i="8" s="1"/>
  <c r="BK33" i="8" s="1"/>
  <c r="BL33" i="8" s="1"/>
  <c r="BM33" i="8" s="1"/>
  <c r="BN33" i="8" s="1"/>
  <c r="BO33" i="8" s="1"/>
  <c r="BP33" i="8" s="1"/>
  <c r="BQ33" i="8" s="1"/>
  <c r="BR33" i="8" s="1"/>
  <c r="BS33" i="8" s="1"/>
  <c r="BT33" i="8" s="1"/>
  <c r="BU33" i="8" s="1"/>
  <c r="BV33" i="8" s="1"/>
  <c r="I33" i="8"/>
  <c r="J33" i="8" s="1"/>
  <c r="K33" i="8" s="1"/>
  <c r="L33" i="8" s="1"/>
  <c r="M33" i="8" s="1"/>
  <c r="N33" i="8" s="1"/>
  <c r="O33" i="8" s="1"/>
  <c r="P33" i="8" s="1"/>
  <c r="Q33" i="8" s="1"/>
  <c r="R33" i="8" s="1"/>
  <c r="S33" i="8" s="1"/>
  <c r="T33" i="8" s="1"/>
  <c r="U33" i="8" s="1"/>
  <c r="V33" i="8" s="1"/>
  <c r="W33" i="8" s="1"/>
  <c r="X33" i="8" s="1"/>
  <c r="Y33" i="8" s="1"/>
  <c r="Z33" i="8" s="1"/>
  <c r="AA33" i="8" s="1"/>
  <c r="AB33" i="8" s="1"/>
  <c r="AC33" i="8" s="1"/>
  <c r="AD33" i="8" s="1"/>
  <c r="AE33" i="8" s="1"/>
  <c r="AF33" i="8" s="1"/>
  <c r="AG33" i="8" s="1"/>
  <c r="AH33" i="8" s="1"/>
  <c r="AI33" i="8" s="1"/>
  <c r="AJ33" i="8" s="1"/>
  <c r="AK33" i="8" s="1"/>
  <c r="AL33" i="8" s="1"/>
  <c r="AM33" i="8" s="1"/>
  <c r="AR36" i="8"/>
  <c r="AS36" i="8" s="1"/>
  <c r="AT36" i="8" s="1"/>
  <c r="AU36" i="8" s="1"/>
  <c r="AV36" i="8" s="1"/>
  <c r="AW36" i="8" s="1"/>
  <c r="AX36" i="8" s="1"/>
  <c r="AY36" i="8" s="1"/>
  <c r="AZ36" i="8" s="1"/>
  <c r="BA36" i="8" s="1"/>
  <c r="BB36" i="8" s="1"/>
  <c r="BC36" i="8" s="1"/>
  <c r="BD36" i="8" s="1"/>
  <c r="BE36" i="8" s="1"/>
  <c r="BF36" i="8" s="1"/>
  <c r="BG36" i="8" s="1"/>
  <c r="BH36" i="8" s="1"/>
  <c r="BI36" i="8" s="1"/>
  <c r="BJ36" i="8" s="1"/>
  <c r="BK36" i="8" s="1"/>
  <c r="BL36" i="8" s="1"/>
  <c r="BM36" i="8" s="1"/>
  <c r="BN36" i="8" s="1"/>
  <c r="BO36" i="8" s="1"/>
  <c r="BP36" i="8" s="1"/>
  <c r="BQ36" i="8" s="1"/>
  <c r="BR36" i="8" s="1"/>
  <c r="BS36" i="8" s="1"/>
  <c r="BT36" i="8" s="1"/>
  <c r="BU36" i="8" s="1"/>
  <c r="BV36" i="8" s="1"/>
  <c r="G43" i="8"/>
  <c r="AR30" i="8"/>
  <c r="AS30" i="8" s="1"/>
  <c r="AT30" i="8" s="1"/>
  <c r="AU30" i="8" s="1"/>
  <c r="AV30" i="8" s="1"/>
  <c r="AW30" i="8" s="1"/>
  <c r="AX30" i="8" s="1"/>
  <c r="AY30" i="8" s="1"/>
  <c r="AZ30" i="8" s="1"/>
  <c r="BA30" i="8" s="1"/>
  <c r="BB30" i="8" s="1"/>
  <c r="BC30" i="8" s="1"/>
  <c r="BD30" i="8" s="1"/>
  <c r="BE30" i="8" s="1"/>
  <c r="BF30" i="8" s="1"/>
  <c r="BG30" i="8" s="1"/>
  <c r="BH30" i="8" s="1"/>
  <c r="BI30" i="8" s="1"/>
  <c r="BJ30" i="8" s="1"/>
  <c r="BK30" i="8" s="1"/>
  <c r="BL30" i="8" s="1"/>
  <c r="BM30" i="8" s="1"/>
  <c r="BN30" i="8" s="1"/>
  <c r="BO30" i="8" s="1"/>
  <c r="BP30" i="8" s="1"/>
  <c r="BQ30" i="8" s="1"/>
  <c r="BR30" i="8" s="1"/>
  <c r="BS30" i="8" s="1"/>
  <c r="BT30" i="8" s="1"/>
  <c r="BU30" i="8" s="1"/>
  <c r="BV30" i="8" s="1"/>
  <c r="I30" i="8"/>
  <c r="J30" i="8" s="1"/>
  <c r="K30" i="8" s="1"/>
  <c r="L30" i="8" s="1"/>
  <c r="M30" i="8" s="1"/>
  <c r="N30" i="8" s="1"/>
  <c r="O30" i="8" s="1"/>
  <c r="P30" i="8" s="1"/>
  <c r="Q30" i="8" s="1"/>
  <c r="R30" i="8" s="1"/>
  <c r="S30" i="8" s="1"/>
  <c r="T30" i="8" s="1"/>
  <c r="U30" i="8" s="1"/>
  <c r="V30" i="8" s="1"/>
  <c r="W30" i="8" s="1"/>
  <c r="X30" i="8" s="1"/>
  <c r="Y30" i="8" s="1"/>
  <c r="Z30" i="8" s="1"/>
  <c r="AA30" i="8" s="1"/>
  <c r="AB30" i="8" s="1"/>
  <c r="AC30" i="8" s="1"/>
  <c r="AD30" i="8" s="1"/>
  <c r="AE30" i="8" s="1"/>
  <c r="AF30" i="8" s="1"/>
  <c r="AG30" i="8" s="1"/>
  <c r="AH30" i="8" s="1"/>
  <c r="AI30" i="8" s="1"/>
  <c r="AJ30" i="8" s="1"/>
  <c r="AK30" i="8" s="1"/>
  <c r="AL30" i="8" s="1"/>
  <c r="AM30" i="8" s="1"/>
  <c r="M22" i="8"/>
  <c r="AC22" i="8"/>
  <c r="AV22" i="8"/>
  <c r="BD22" i="8"/>
  <c r="BT22" i="8"/>
  <c r="AR27" i="8"/>
  <c r="AS27" i="8" s="1"/>
  <c r="AT27" i="8" s="1"/>
  <c r="AU27" i="8" s="1"/>
  <c r="AV27" i="8" s="1"/>
  <c r="AW27" i="8" s="1"/>
  <c r="AX27" i="8" s="1"/>
  <c r="AY27" i="8" s="1"/>
  <c r="AZ27" i="8" s="1"/>
  <c r="BA27" i="8" s="1"/>
  <c r="BB27" i="8" s="1"/>
  <c r="BC27" i="8" s="1"/>
  <c r="BD27" i="8" s="1"/>
  <c r="BE27" i="8" s="1"/>
  <c r="BF27" i="8" s="1"/>
  <c r="BG27" i="8" s="1"/>
  <c r="BH27" i="8" s="1"/>
  <c r="BI27" i="8" s="1"/>
  <c r="BJ27" i="8" s="1"/>
  <c r="BK27" i="8" s="1"/>
  <c r="BL27" i="8" s="1"/>
  <c r="BM27" i="8" s="1"/>
  <c r="BN27" i="8" s="1"/>
  <c r="BO27" i="8" s="1"/>
  <c r="BP27" i="8" s="1"/>
  <c r="BQ27" i="8" s="1"/>
  <c r="BR27" i="8" s="1"/>
  <c r="BS27" i="8" s="1"/>
  <c r="BT27" i="8" s="1"/>
  <c r="BU27" i="8" s="1"/>
  <c r="BV27" i="8" s="1"/>
  <c r="I27" i="8"/>
  <c r="J27" i="8" s="1"/>
  <c r="K27" i="8" s="1"/>
  <c r="L27" i="8" s="1"/>
  <c r="M27" i="8" s="1"/>
  <c r="N27" i="8" s="1"/>
  <c r="O27" i="8" s="1"/>
  <c r="P27" i="8" s="1"/>
  <c r="Q27" i="8" s="1"/>
  <c r="R27" i="8" s="1"/>
  <c r="S27" i="8" s="1"/>
  <c r="T27" i="8" s="1"/>
  <c r="U27" i="8" s="1"/>
  <c r="V27" i="8" s="1"/>
  <c r="W27" i="8" s="1"/>
  <c r="X27" i="8" s="1"/>
  <c r="Y27" i="8" s="1"/>
  <c r="Z27" i="8" s="1"/>
  <c r="AA27" i="8" s="1"/>
  <c r="AB27" i="8" s="1"/>
  <c r="AC27" i="8" s="1"/>
  <c r="AD27" i="8" s="1"/>
  <c r="AE27" i="8" s="1"/>
  <c r="AF27" i="8" s="1"/>
  <c r="AG27" i="8" s="1"/>
  <c r="AH27" i="8" s="1"/>
  <c r="AI27" i="8" s="1"/>
  <c r="AJ27" i="8" s="1"/>
  <c r="AK27" i="8" s="1"/>
  <c r="AL27" i="8" s="1"/>
  <c r="AM27" i="8" s="1"/>
  <c r="U22" i="8"/>
  <c r="AK22" i="8"/>
  <c r="BL22" i="8"/>
  <c r="N22" i="8"/>
  <c r="V22" i="8"/>
  <c r="AD22" i="8"/>
  <c r="AL22" i="8"/>
  <c r="AW22" i="8"/>
  <c r="BE22" i="8"/>
  <c r="BM22" i="8"/>
  <c r="BU22" i="8"/>
  <c r="J24" i="8"/>
  <c r="K24" i="8" s="1"/>
  <c r="L24" i="8" s="1"/>
  <c r="M24" i="8" s="1"/>
  <c r="N24" i="8" s="1"/>
  <c r="O24" i="8" s="1"/>
  <c r="P24" i="8" s="1"/>
  <c r="Q24" i="8" s="1"/>
  <c r="R24" i="8" s="1"/>
  <c r="S24" i="8" s="1"/>
  <c r="T24" i="8" s="1"/>
  <c r="U24" i="8" s="1"/>
  <c r="V24" i="8" s="1"/>
  <c r="W24" i="8" s="1"/>
  <c r="X24" i="8" s="1"/>
  <c r="Y24" i="8" s="1"/>
  <c r="Z24" i="8" s="1"/>
  <c r="AA24" i="8" s="1"/>
  <c r="AB24" i="8" s="1"/>
  <c r="AC24" i="8" s="1"/>
  <c r="AD24" i="8" s="1"/>
  <c r="AE24" i="8" s="1"/>
  <c r="AF24" i="8" s="1"/>
  <c r="AG24" i="8" s="1"/>
  <c r="AH24" i="8" s="1"/>
  <c r="AI24" i="8" s="1"/>
  <c r="AJ24" i="8" s="1"/>
  <c r="AK24" i="8" s="1"/>
  <c r="AL24" i="8" s="1"/>
  <c r="AM24" i="8" s="1"/>
  <c r="AR25" i="8"/>
  <c r="AS25" i="8" s="1"/>
  <c r="AT25" i="8" s="1"/>
  <c r="AU25" i="8" s="1"/>
  <c r="AV25" i="8" s="1"/>
  <c r="AW25" i="8" s="1"/>
  <c r="AX25" i="8" s="1"/>
  <c r="AY25" i="8" s="1"/>
  <c r="AZ25" i="8" s="1"/>
  <c r="BA25" i="8" s="1"/>
  <c r="BB25" i="8" s="1"/>
  <c r="BC25" i="8" s="1"/>
  <c r="BD25" i="8" s="1"/>
  <c r="BE25" i="8" s="1"/>
  <c r="BF25" i="8" s="1"/>
  <c r="BG25" i="8" s="1"/>
  <c r="BH25" i="8" s="1"/>
  <c r="BI25" i="8" s="1"/>
  <c r="BJ25" i="8" s="1"/>
  <c r="BK25" i="8" s="1"/>
  <c r="BL25" i="8" s="1"/>
  <c r="BM25" i="8" s="1"/>
  <c r="BN25" i="8" s="1"/>
  <c r="BO25" i="8" s="1"/>
  <c r="BP25" i="8" s="1"/>
  <c r="BQ25" i="8" s="1"/>
  <c r="BR25" i="8" s="1"/>
  <c r="BS25" i="8" s="1"/>
  <c r="BT25" i="8" s="1"/>
  <c r="BU25" i="8" s="1"/>
  <c r="BV25" i="8" s="1"/>
  <c r="I25" i="8"/>
  <c r="J25" i="8" s="1"/>
  <c r="K25" i="8" s="1"/>
  <c r="L25" i="8" s="1"/>
  <c r="M25" i="8" s="1"/>
  <c r="N25" i="8" s="1"/>
  <c r="O25" i="8" s="1"/>
  <c r="P25" i="8" s="1"/>
  <c r="Q25" i="8" s="1"/>
  <c r="R25" i="8" s="1"/>
  <c r="S25" i="8" s="1"/>
  <c r="T25" i="8" s="1"/>
  <c r="U25" i="8" s="1"/>
  <c r="V25" i="8" s="1"/>
  <c r="W25" i="8" s="1"/>
  <c r="X25" i="8" s="1"/>
  <c r="Y25" i="8" s="1"/>
  <c r="Z25" i="8" s="1"/>
  <c r="AA25" i="8" s="1"/>
  <c r="AB25" i="8" s="1"/>
  <c r="AC25" i="8" s="1"/>
  <c r="AD25" i="8" s="1"/>
  <c r="AE25" i="8" s="1"/>
  <c r="AF25" i="8" s="1"/>
  <c r="AG25" i="8" s="1"/>
  <c r="AH25" i="8" s="1"/>
  <c r="AI25" i="8" s="1"/>
  <c r="AJ25" i="8" s="1"/>
  <c r="AK25" i="8" s="1"/>
  <c r="AL25" i="8" s="1"/>
  <c r="AM25" i="8" s="1"/>
  <c r="P22" i="8"/>
  <c r="X22" i="8"/>
  <c r="AF22" i="8"/>
  <c r="AY22" i="8"/>
  <c r="BG22" i="8"/>
  <c r="F43" i="8"/>
  <c r="AR23" i="8"/>
  <c r="J28" i="8"/>
  <c r="K28" i="8" s="1"/>
  <c r="L28" i="8" s="1"/>
  <c r="M28" i="8" s="1"/>
  <c r="N28" i="8" s="1"/>
  <c r="O28" i="8" s="1"/>
  <c r="P28" i="8" s="1"/>
  <c r="Q28" i="8" s="1"/>
  <c r="R28" i="8" s="1"/>
  <c r="S28" i="8" s="1"/>
  <c r="T28" i="8" s="1"/>
  <c r="U28" i="8" s="1"/>
  <c r="V28" i="8" s="1"/>
  <c r="W28" i="8" s="1"/>
  <c r="X28" i="8" s="1"/>
  <c r="Y28" i="8" s="1"/>
  <c r="Z28" i="8" s="1"/>
  <c r="AA28" i="8" s="1"/>
  <c r="AB28" i="8" s="1"/>
  <c r="AC28" i="8" s="1"/>
  <c r="AD28" i="8" s="1"/>
  <c r="AE28" i="8" s="1"/>
  <c r="AF28" i="8" s="1"/>
  <c r="AG28" i="8" s="1"/>
  <c r="AH28" i="8" s="1"/>
  <c r="AI28" i="8" s="1"/>
  <c r="AJ28" i="8" s="1"/>
  <c r="AK28" i="8" s="1"/>
  <c r="AL28" i="8" s="1"/>
  <c r="AM28" i="8" s="1"/>
  <c r="AR40" i="8"/>
  <c r="AS40" i="8" s="1"/>
  <c r="AT40" i="8" s="1"/>
  <c r="AU40" i="8" s="1"/>
  <c r="AV40" i="8" s="1"/>
  <c r="AW40" i="8" s="1"/>
  <c r="AX40" i="8" s="1"/>
  <c r="AY40" i="8" s="1"/>
  <c r="AZ40" i="8" s="1"/>
  <c r="BA40" i="8" s="1"/>
  <c r="BB40" i="8" s="1"/>
  <c r="BC40" i="8" s="1"/>
  <c r="BD40" i="8" s="1"/>
  <c r="BE40" i="8" s="1"/>
  <c r="BF40" i="8" s="1"/>
  <c r="BG40" i="8" s="1"/>
  <c r="BH40" i="8" s="1"/>
  <c r="BI40" i="8" s="1"/>
  <c r="BJ40" i="8" s="1"/>
  <c r="BK40" i="8" s="1"/>
  <c r="BL40" i="8" s="1"/>
  <c r="BM40" i="8" s="1"/>
  <c r="BN40" i="8" s="1"/>
  <c r="BO40" i="8" s="1"/>
  <c r="BP40" i="8" s="1"/>
  <c r="BQ40" i="8" s="1"/>
  <c r="BR40" i="8" s="1"/>
  <c r="BS40" i="8" s="1"/>
  <c r="BT40" i="8" s="1"/>
  <c r="BU40" i="8" s="1"/>
  <c r="BV40" i="8" s="1"/>
  <c r="I40" i="8"/>
  <c r="J40" i="8" s="1"/>
  <c r="K40" i="8" s="1"/>
  <c r="L40" i="8" s="1"/>
  <c r="M40" i="8" s="1"/>
  <c r="N40" i="8" s="1"/>
  <c r="O40" i="8" s="1"/>
  <c r="P40" i="8" s="1"/>
  <c r="Q40" i="8" s="1"/>
  <c r="R40" i="8" s="1"/>
  <c r="S40" i="8" s="1"/>
  <c r="T40" i="8" s="1"/>
  <c r="U40" i="8" s="1"/>
  <c r="V40" i="8" s="1"/>
  <c r="W40" i="8" s="1"/>
  <c r="X40" i="8" s="1"/>
  <c r="Y40" i="8" s="1"/>
  <c r="Z40" i="8" s="1"/>
  <c r="AA40" i="8" s="1"/>
  <c r="AB40" i="8" s="1"/>
  <c r="AC40" i="8" s="1"/>
  <c r="AD40" i="8" s="1"/>
  <c r="AE40" i="8" s="1"/>
  <c r="AF40" i="8" s="1"/>
  <c r="AG40" i="8" s="1"/>
  <c r="AH40" i="8" s="1"/>
  <c r="AI40" i="8" s="1"/>
  <c r="AJ40" i="8" s="1"/>
  <c r="AK40" i="8" s="1"/>
  <c r="AL40" i="8" s="1"/>
  <c r="AM40" i="8" s="1"/>
  <c r="AS35" i="8"/>
  <c r="AT35" i="8" s="1"/>
  <c r="AU35" i="8" s="1"/>
  <c r="AV35" i="8" s="1"/>
  <c r="AW35" i="8" s="1"/>
  <c r="AX35" i="8" s="1"/>
  <c r="AY35" i="8" s="1"/>
  <c r="AZ35" i="8" s="1"/>
  <c r="BA35" i="8" s="1"/>
  <c r="BB35" i="8" s="1"/>
  <c r="BC35" i="8" s="1"/>
  <c r="BD35" i="8" s="1"/>
  <c r="BE35" i="8" s="1"/>
  <c r="BF35" i="8" s="1"/>
  <c r="BG35" i="8" s="1"/>
  <c r="BH35" i="8" s="1"/>
  <c r="BI35" i="8" s="1"/>
  <c r="BJ35" i="8" s="1"/>
  <c r="BK35" i="8" s="1"/>
  <c r="BL35" i="8" s="1"/>
  <c r="BM35" i="8" s="1"/>
  <c r="BN35" i="8" s="1"/>
  <c r="BO35" i="8" s="1"/>
  <c r="BP35" i="8" s="1"/>
  <c r="BQ35" i="8" s="1"/>
  <c r="BR35" i="8" s="1"/>
  <c r="BS35" i="8" s="1"/>
  <c r="BT35" i="8" s="1"/>
  <c r="BU35" i="8" s="1"/>
  <c r="BV35" i="8" s="1"/>
  <c r="AS39" i="8"/>
  <c r="AT39" i="8" s="1"/>
  <c r="AU39" i="8" s="1"/>
  <c r="AV39" i="8" s="1"/>
  <c r="AW39" i="8" s="1"/>
  <c r="AX39" i="8" s="1"/>
  <c r="AY39" i="8" s="1"/>
  <c r="AZ39" i="8" s="1"/>
  <c r="BA39" i="8" s="1"/>
  <c r="BB39" i="8" s="1"/>
  <c r="BC39" i="8" s="1"/>
  <c r="BD39" i="8" s="1"/>
  <c r="BE39" i="8" s="1"/>
  <c r="BF39" i="8" s="1"/>
  <c r="BG39" i="8" s="1"/>
  <c r="BH39" i="8" s="1"/>
  <c r="BI39" i="8" s="1"/>
  <c r="BJ39" i="8" s="1"/>
  <c r="BK39" i="8" s="1"/>
  <c r="BL39" i="8" s="1"/>
  <c r="BM39" i="8" s="1"/>
  <c r="BN39" i="8" s="1"/>
  <c r="BO39" i="8" s="1"/>
  <c r="BP39" i="8" s="1"/>
  <c r="BQ39" i="8" s="1"/>
  <c r="BR39" i="8" s="1"/>
  <c r="BS39" i="8" s="1"/>
  <c r="BT39" i="8" s="1"/>
  <c r="BU39" i="8" s="1"/>
  <c r="BV39" i="8" s="1"/>
  <c r="AR38" i="8"/>
  <c r="AS38" i="8" s="1"/>
  <c r="AT38" i="8" s="1"/>
  <c r="AU38" i="8" s="1"/>
  <c r="AV38" i="8" s="1"/>
  <c r="AW38" i="8" s="1"/>
  <c r="AX38" i="8" s="1"/>
  <c r="AY38" i="8" s="1"/>
  <c r="AZ38" i="8" s="1"/>
  <c r="BA38" i="8" s="1"/>
  <c r="BB38" i="8" s="1"/>
  <c r="BC38" i="8" s="1"/>
  <c r="BD38" i="8" s="1"/>
  <c r="BE38" i="8" s="1"/>
  <c r="BF38" i="8" s="1"/>
  <c r="BG38" i="8" s="1"/>
  <c r="BH38" i="8" s="1"/>
  <c r="BI38" i="8" s="1"/>
  <c r="BJ38" i="8" s="1"/>
  <c r="BK38" i="8" s="1"/>
  <c r="BL38" i="8" s="1"/>
  <c r="BM38" i="8" s="1"/>
  <c r="BN38" i="8" s="1"/>
  <c r="BO38" i="8" s="1"/>
  <c r="BP38" i="8" s="1"/>
  <c r="BQ38" i="8" s="1"/>
  <c r="BR38" i="8" s="1"/>
  <c r="BS38" i="8" s="1"/>
  <c r="BT38" i="8" s="1"/>
  <c r="BU38" i="8" s="1"/>
  <c r="BV38" i="8" s="1"/>
  <c r="I38" i="8"/>
  <c r="J38" i="8" s="1"/>
  <c r="K38" i="8" s="1"/>
  <c r="L38" i="8" s="1"/>
  <c r="M38" i="8" s="1"/>
  <c r="N38" i="8" s="1"/>
  <c r="O38" i="8" s="1"/>
  <c r="P38" i="8" s="1"/>
  <c r="Q38" i="8" s="1"/>
  <c r="R38" i="8" s="1"/>
  <c r="S38" i="8" s="1"/>
  <c r="T38" i="8" s="1"/>
  <c r="U38" i="8" s="1"/>
  <c r="V38" i="8" s="1"/>
  <c r="W38" i="8" s="1"/>
  <c r="X38" i="8" s="1"/>
  <c r="Y38" i="8" s="1"/>
  <c r="Z38" i="8" s="1"/>
  <c r="AA38" i="8" s="1"/>
  <c r="AB38" i="8" s="1"/>
  <c r="AC38" i="8" s="1"/>
  <c r="AD38" i="8" s="1"/>
  <c r="AE38" i="8" s="1"/>
  <c r="AF38" i="8" s="1"/>
  <c r="AG38" i="8" s="1"/>
  <c r="AH38" i="8" s="1"/>
  <c r="AI38" i="8" s="1"/>
  <c r="AJ38" i="8" s="1"/>
  <c r="AK38" i="8" s="1"/>
  <c r="AL38" i="8" s="1"/>
  <c r="AM38" i="8" s="1"/>
  <c r="I42" i="8" l="1"/>
  <c r="I43" i="8"/>
  <c r="I44" i="8" s="1"/>
  <c r="I45" i="8" s="1"/>
  <c r="AR43" i="8"/>
  <c r="AR44" i="8" s="1"/>
  <c r="AR45" i="8" s="1"/>
  <c r="AR42" i="8"/>
  <c r="AS23" i="8"/>
  <c r="K43" i="8"/>
  <c r="K44" i="8" s="1"/>
  <c r="K45" i="8" s="1"/>
  <c r="K42" i="8"/>
  <c r="L23" i="8"/>
  <c r="J42" i="8"/>
  <c r="J43" i="8"/>
  <c r="J44" i="8" s="1"/>
  <c r="J45" i="8" s="1"/>
  <c r="L43" i="8" l="1"/>
  <c r="L44" i="8" s="1"/>
  <c r="L45" i="8" s="1"/>
  <c r="L42" i="8"/>
  <c r="M23" i="8"/>
  <c r="AS43" i="8"/>
  <c r="AS44" i="8" s="1"/>
  <c r="AS45" i="8" s="1"/>
  <c r="AS42" i="8"/>
  <c r="AT23" i="8"/>
  <c r="AT43" i="8" l="1"/>
  <c r="AT44" i="8" s="1"/>
  <c r="AT45" i="8" s="1"/>
  <c r="AT42" i="8"/>
  <c r="AU23" i="8"/>
  <c r="M43" i="8"/>
  <c r="M44" i="8" s="1"/>
  <c r="M45" i="8" s="1"/>
  <c r="M42" i="8"/>
  <c r="N23" i="8"/>
  <c r="N42" i="8" l="1"/>
  <c r="N43" i="8"/>
  <c r="N44" i="8" s="1"/>
  <c r="N45" i="8" s="1"/>
  <c r="O23" i="8"/>
  <c r="AU43" i="8"/>
  <c r="AU44" i="8" s="1"/>
  <c r="AU45" i="8" s="1"/>
  <c r="AU42" i="8"/>
  <c r="AV23" i="8"/>
  <c r="O43" i="8" l="1"/>
  <c r="O44" i="8" s="1"/>
  <c r="O45" i="8" s="1"/>
  <c r="O42" i="8"/>
  <c r="P23" i="8"/>
  <c r="AV43" i="8"/>
  <c r="AV44" i="8" s="1"/>
  <c r="AV45" i="8" s="1"/>
  <c r="AV42" i="8"/>
  <c r="AW23" i="8"/>
  <c r="AW42" i="8" l="1"/>
  <c r="AW43" i="8"/>
  <c r="AW44" i="8" s="1"/>
  <c r="AW45" i="8" s="1"/>
  <c r="AX23" i="8"/>
  <c r="P43" i="8"/>
  <c r="P44" i="8" s="1"/>
  <c r="P45" i="8" s="1"/>
  <c r="P42" i="8"/>
  <c r="Q23" i="8"/>
  <c r="AX43" i="8" l="1"/>
  <c r="AX44" i="8" s="1"/>
  <c r="AX45" i="8" s="1"/>
  <c r="AX42" i="8"/>
  <c r="AY23" i="8"/>
  <c r="Q43" i="8"/>
  <c r="Q44" i="8" s="1"/>
  <c r="Q45" i="8" s="1"/>
  <c r="Q42" i="8"/>
  <c r="R23" i="8"/>
  <c r="AY43" i="8" l="1"/>
  <c r="AY44" i="8" s="1"/>
  <c r="AY45" i="8" s="1"/>
  <c r="AY42" i="8"/>
  <c r="AZ23" i="8"/>
  <c r="R43" i="8"/>
  <c r="R44" i="8" s="1"/>
  <c r="R45" i="8" s="1"/>
  <c r="R42" i="8"/>
  <c r="S23" i="8"/>
  <c r="S43" i="8" l="1"/>
  <c r="S44" i="8" s="1"/>
  <c r="S45" i="8" s="1"/>
  <c r="S42" i="8"/>
  <c r="T23" i="8"/>
  <c r="AZ43" i="8"/>
  <c r="AZ44" i="8" s="1"/>
  <c r="AZ45" i="8" s="1"/>
  <c r="AZ42" i="8"/>
  <c r="BA23" i="8"/>
  <c r="BA43" i="8" l="1"/>
  <c r="BA44" i="8" s="1"/>
  <c r="BA45" i="8" s="1"/>
  <c r="BA42" i="8"/>
  <c r="BB23" i="8"/>
  <c r="T43" i="8"/>
  <c r="T44" i="8" s="1"/>
  <c r="T45" i="8" s="1"/>
  <c r="T42" i="8"/>
  <c r="U23" i="8"/>
  <c r="U43" i="8" l="1"/>
  <c r="U44" i="8" s="1"/>
  <c r="U45" i="8" s="1"/>
  <c r="U42" i="8"/>
  <c r="V23" i="8"/>
  <c r="BB43" i="8"/>
  <c r="BB44" i="8" s="1"/>
  <c r="BB45" i="8" s="1"/>
  <c r="BB42" i="8"/>
  <c r="BC23" i="8"/>
  <c r="BC43" i="8" l="1"/>
  <c r="BC44" i="8" s="1"/>
  <c r="BC45" i="8" s="1"/>
  <c r="BC42" i="8"/>
  <c r="BD23" i="8"/>
  <c r="V43" i="8"/>
  <c r="V44" i="8" s="1"/>
  <c r="V45" i="8" s="1"/>
  <c r="V42" i="8"/>
  <c r="W23" i="8"/>
  <c r="W43" i="8" l="1"/>
  <c r="W44" i="8" s="1"/>
  <c r="W45" i="8" s="1"/>
  <c r="W42" i="8"/>
  <c r="X23" i="8"/>
  <c r="BD43" i="8"/>
  <c r="BD44" i="8" s="1"/>
  <c r="BD45" i="8" s="1"/>
  <c r="BD42" i="8"/>
  <c r="BE23" i="8"/>
  <c r="BE43" i="8" l="1"/>
  <c r="BE44" i="8" s="1"/>
  <c r="BE45" i="8" s="1"/>
  <c r="BE42" i="8"/>
  <c r="BF23" i="8"/>
  <c r="X42" i="8"/>
  <c r="X43" i="8"/>
  <c r="X44" i="8" s="1"/>
  <c r="X45" i="8" s="1"/>
  <c r="Y23" i="8"/>
  <c r="BF43" i="8" l="1"/>
  <c r="BF44" i="8" s="1"/>
  <c r="BF45" i="8" s="1"/>
  <c r="BF42" i="8"/>
  <c r="BG23" i="8"/>
  <c r="Y42" i="8"/>
  <c r="Y43" i="8"/>
  <c r="Y44" i="8" s="1"/>
  <c r="Y45" i="8" s="1"/>
  <c r="Z23" i="8"/>
  <c r="Z43" i="8" l="1"/>
  <c r="Z44" i="8" s="1"/>
  <c r="Z45" i="8" s="1"/>
  <c r="Z42" i="8"/>
  <c r="AA23" i="8"/>
  <c r="BG42" i="8"/>
  <c r="BG43" i="8"/>
  <c r="BG44" i="8" s="1"/>
  <c r="BG45" i="8" s="1"/>
  <c r="BH23" i="8"/>
  <c r="AA43" i="8" l="1"/>
  <c r="AA44" i="8" s="1"/>
  <c r="AA45" i="8" s="1"/>
  <c r="AA42" i="8"/>
  <c r="AB23" i="8"/>
  <c r="BH42" i="8"/>
  <c r="BH43" i="8"/>
  <c r="BH44" i="8" s="1"/>
  <c r="BH45" i="8" s="1"/>
  <c r="BI23" i="8"/>
  <c r="BI42" i="8" l="1"/>
  <c r="BI43" i="8"/>
  <c r="BI44" i="8" s="1"/>
  <c r="BI45" i="8" s="1"/>
  <c r="BJ23" i="8"/>
  <c r="AB43" i="8"/>
  <c r="AB44" i="8" s="1"/>
  <c r="AB45" i="8" s="1"/>
  <c r="AB42" i="8"/>
  <c r="AC23" i="8"/>
  <c r="BJ43" i="8" l="1"/>
  <c r="BJ44" i="8" s="1"/>
  <c r="BJ45" i="8" s="1"/>
  <c r="BJ42" i="8"/>
  <c r="BK23" i="8"/>
  <c r="AC43" i="8"/>
  <c r="AC44" i="8" s="1"/>
  <c r="AC45" i="8" s="1"/>
  <c r="AC42" i="8"/>
  <c r="AD23" i="8"/>
  <c r="BK43" i="8" l="1"/>
  <c r="BK44" i="8" s="1"/>
  <c r="BK45" i="8" s="1"/>
  <c r="BK42" i="8"/>
  <c r="BL23" i="8"/>
  <c r="AD43" i="8"/>
  <c r="AD44" i="8" s="1"/>
  <c r="AD45" i="8" s="1"/>
  <c r="AD42" i="8"/>
  <c r="AE23" i="8"/>
  <c r="AE43" i="8" l="1"/>
  <c r="AE44" i="8" s="1"/>
  <c r="AE45" i="8" s="1"/>
  <c r="AE42" i="8"/>
  <c r="AF23" i="8"/>
  <c r="BL43" i="8"/>
  <c r="BL44" i="8" s="1"/>
  <c r="BL45" i="8" s="1"/>
  <c r="BL42" i="8"/>
  <c r="BM23" i="8"/>
  <c r="BM43" i="8" l="1"/>
  <c r="BM44" i="8" s="1"/>
  <c r="BM45" i="8" s="1"/>
  <c r="BM42" i="8"/>
  <c r="BN23" i="8"/>
  <c r="AF43" i="8"/>
  <c r="AF44" i="8" s="1"/>
  <c r="AF45" i="8" s="1"/>
  <c r="AF42" i="8"/>
  <c r="AG23" i="8"/>
  <c r="AG42" i="8" l="1"/>
  <c r="AG43" i="8"/>
  <c r="AG44" i="8" s="1"/>
  <c r="AG45" i="8" s="1"/>
  <c r="AH23" i="8"/>
  <c r="BN43" i="8"/>
  <c r="BN44" i="8" s="1"/>
  <c r="BN45" i="8" s="1"/>
  <c r="BN42" i="8"/>
  <c r="BO23" i="8"/>
  <c r="BO43" i="8" l="1"/>
  <c r="BO44" i="8" s="1"/>
  <c r="BO45" i="8" s="1"/>
  <c r="BO42" i="8"/>
  <c r="BP23" i="8"/>
  <c r="AH43" i="8"/>
  <c r="AH44" i="8" s="1"/>
  <c r="AH45" i="8" s="1"/>
  <c r="AH42" i="8"/>
  <c r="AI23" i="8"/>
  <c r="AI43" i="8" l="1"/>
  <c r="AI44" i="8" s="1"/>
  <c r="AI45" i="8" s="1"/>
  <c r="AI42" i="8"/>
  <c r="AJ23" i="8"/>
  <c r="BP43" i="8"/>
  <c r="BP44" i="8" s="1"/>
  <c r="BP45" i="8" s="1"/>
  <c r="BP42" i="8"/>
  <c r="BQ23" i="8"/>
  <c r="BQ43" i="8" l="1"/>
  <c r="BQ44" i="8" s="1"/>
  <c r="BQ45" i="8" s="1"/>
  <c r="BQ42" i="8"/>
  <c r="BR23" i="8"/>
  <c r="AJ43" i="8"/>
  <c r="AJ44" i="8" s="1"/>
  <c r="AJ45" i="8" s="1"/>
  <c r="AJ42" i="8"/>
  <c r="AK23" i="8"/>
  <c r="AK43" i="8" l="1"/>
  <c r="AK44" i="8" s="1"/>
  <c r="AK45" i="8" s="1"/>
  <c r="AK42" i="8"/>
  <c r="AL23" i="8"/>
  <c r="BR43" i="8"/>
  <c r="BR44" i="8" s="1"/>
  <c r="BR45" i="8" s="1"/>
  <c r="BR42" i="8"/>
  <c r="BS23" i="8"/>
  <c r="BS43" i="8" l="1"/>
  <c r="BS44" i="8" s="1"/>
  <c r="BS45" i="8" s="1"/>
  <c r="BS42" i="8"/>
  <c r="BT23" i="8"/>
  <c r="AL43" i="8"/>
  <c r="AL44" i="8" s="1"/>
  <c r="AL45" i="8" s="1"/>
  <c r="AL42" i="8"/>
  <c r="AM23" i="8"/>
  <c r="AM43" i="8" l="1"/>
  <c r="AM44" i="8" s="1"/>
  <c r="AM45" i="8" s="1"/>
  <c r="AN45" i="8" s="1"/>
  <c r="AM42" i="8"/>
  <c r="F45" i="8" s="1"/>
  <c r="F46" i="8"/>
  <c r="BT42" i="8"/>
  <c r="BT43" i="8"/>
  <c r="BT44" i="8" s="1"/>
  <c r="BT45" i="8" s="1"/>
  <c r="BU23" i="8"/>
  <c r="BU42" i="8" l="1"/>
  <c r="BU43" i="8"/>
  <c r="BU44" i="8" s="1"/>
  <c r="BU45" i="8" s="1"/>
  <c r="BV23" i="8"/>
  <c r="A32" i="9"/>
  <c r="A33" i="9"/>
  <c r="M3" i="9"/>
  <c r="A1" i="9" s="1"/>
  <c r="C7" i="9"/>
  <c r="I6" i="9"/>
  <c r="J7" i="9" s="1"/>
  <c r="C2" i="9"/>
  <c r="BV43" i="8" l="1"/>
  <c r="BV44" i="8" s="1"/>
  <c r="BV45" i="8" s="1"/>
  <c r="BW45" i="8" s="1"/>
  <c r="BV42" i="8"/>
  <c r="K16" i="9"/>
  <c r="L16" i="9" s="1"/>
  <c r="K24" i="9"/>
  <c r="L24" i="9" s="1"/>
  <c r="K27" i="9"/>
  <c r="L27" i="9" s="1"/>
  <c r="K17" i="9"/>
  <c r="L17" i="9" s="1"/>
  <c r="K29" i="9"/>
  <c r="L29" i="9" s="1"/>
  <c r="K14" i="9"/>
  <c r="L14" i="9" s="1"/>
  <c r="K22" i="9"/>
  <c r="L22" i="9" s="1"/>
  <c r="K23" i="9"/>
  <c r="L23" i="9" s="1"/>
  <c r="K12" i="9"/>
  <c r="L12" i="9" s="1"/>
  <c r="K20" i="9"/>
  <c r="L20" i="9" s="1"/>
  <c r="K19" i="9"/>
  <c r="L19" i="9" s="1"/>
  <c r="K13" i="9"/>
  <c r="L13" i="9" s="1"/>
  <c r="K25" i="9"/>
  <c r="L25" i="9" s="1"/>
  <c r="K15" i="9"/>
  <c r="L15" i="9" s="1"/>
  <c r="K18" i="9"/>
  <c r="L18" i="9" s="1"/>
  <c r="K26" i="9"/>
  <c r="L26" i="9" s="1"/>
  <c r="K11" i="9"/>
  <c r="L11" i="9" s="1"/>
  <c r="K28" i="9"/>
  <c r="L28" i="9" s="1"/>
  <c r="K21" i="9"/>
  <c r="L21" i="9" s="1"/>
  <c r="H30" i="9"/>
  <c r="J30" i="9" s="1"/>
  <c r="L30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Hernando</author>
  </authors>
  <commentList>
    <comment ref="C5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Seleccione el mes que desea reportar.</t>
        </r>
      </text>
    </comment>
    <comment ref="G5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Seleccione la base en la cual se prestó el servicio.</t>
        </r>
      </text>
    </comment>
    <comment ref="L7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Seleccione el área a la cual pertenece.</t>
        </r>
      </text>
    </comment>
    <comment ref="B9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Seleccione el Nombre del cliente para el cual se prestaron los servicios.</t>
        </r>
      </text>
    </comment>
    <comment ref="C9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Inserte el nombre del proyecto o el pozo donde se prestó el servicio.</t>
        </r>
      </text>
    </comment>
    <comment ref="I9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Seleccione el tipo de bono a reportar.</t>
        </r>
      </text>
    </comment>
    <comment ref="J9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>Ingrese una observación si es necesario.</t>
        </r>
      </text>
    </comment>
    <comment ref="F10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>Ingese la fecha en la cual inicio labores.</t>
        </r>
      </text>
    </comment>
    <comment ref="G10" authorId="0" shapeId="0" xr:uid="{00000000-0006-0000-0300-00000B000000}">
      <text>
        <r>
          <rPr>
            <b/>
            <sz val="9"/>
            <color indexed="81"/>
            <rFont val="Tahoma"/>
            <family val="2"/>
          </rPr>
          <t>Ingrese la fecha en la cual finalizó labores.</t>
        </r>
      </text>
    </comment>
    <comment ref="B36" authorId="0" shapeId="0" xr:uid="{00000000-0006-0000-0300-00000C000000}">
      <text>
        <r>
          <rPr>
            <b/>
            <sz val="9"/>
            <color indexed="81"/>
            <rFont val="Tahoma"/>
            <family val="2"/>
          </rPr>
          <t>Inserte la fecha de diligenciamiento del formulario.</t>
        </r>
      </text>
    </comment>
    <comment ref="H36" authorId="0" shapeId="0" xr:uid="{00000000-0006-0000-0300-00000D000000}">
      <text>
        <r>
          <rPr>
            <b/>
            <sz val="9"/>
            <color indexed="81"/>
            <rFont val="Tahoma"/>
            <family val="2"/>
          </rPr>
          <t>Inserte la fecha de diligenciamiento del formulario.</t>
        </r>
      </text>
    </comment>
  </commentList>
</comments>
</file>

<file path=xl/sharedStrings.xml><?xml version="1.0" encoding="utf-8"?>
<sst xmlns="http://schemas.openxmlformats.org/spreadsheetml/2006/main" count="3217" uniqueCount="1123">
  <si>
    <t>DV01.</t>
  </si>
  <si>
    <t>DV02.</t>
  </si>
  <si>
    <t>DV03.</t>
  </si>
  <si>
    <t>DV04.</t>
  </si>
  <si>
    <t>Fecha</t>
  </si>
  <si>
    <t>Cargos Sperry</t>
  </si>
  <si>
    <t>CONTEO DE DÍAS</t>
  </si>
  <si>
    <t>JOB 1</t>
  </si>
  <si>
    <t>JOB 2</t>
  </si>
  <si>
    <t>JOB 3</t>
  </si>
  <si>
    <t>JOB 4</t>
  </si>
  <si>
    <t>JOB 5</t>
  </si>
  <si>
    <t>JOB 6</t>
  </si>
  <si>
    <t>JOB 7</t>
  </si>
  <si>
    <t>JOB 8</t>
  </si>
  <si>
    <t>JOB 9</t>
  </si>
  <si>
    <t>JOB 10</t>
  </si>
  <si>
    <t>JOB 11</t>
  </si>
  <si>
    <t>JOB 12</t>
  </si>
  <si>
    <t>JOB 13</t>
  </si>
  <si>
    <t>JOB 14</t>
  </si>
  <si>
    <t>JOB 15</t>
  </si>
  <si>
    <t>JOB 16</t>
  </si>
  <si>
    <t>JOB 17</t>
  </si>
  <si>
    <t>JOB 18</t>
  </si>
  <si>
    <t>JOB 19</t>
  </si>
  <si>
    <t>ST04.</t>
  </si>
  <si>
    <t>ST03.</t>
  </si>
  <si>
    <t>ST02.</t>
  </si>
  <si>
    <t>ST01.</t>
  </si>
  <si>
    <t>Locación</t>
  </si>
  <si>
    <t>TABLA DE EQUIVALENCIAS</t>
  </si>
  <si>
    <t>MV01.</t>
  </si>
  <si>
    <t>MV02.</t>
  </si>
  <si>
    <t>MV03.</t>
  </si>
  <si>
    <t>MV04.</t>
  </si>
  <si>
    <t>OV01.</t>
  </si>
  <si>
    <t>OV02.</t>
  </si>
  <si>
    <t>OV03.</t>
  </si>
  <si>
    <t>OV04.</t>
  </si>
  <si>
    <t>OV05.</t>
  </si>
  <si>
    <t>DV01.-ESG_Field Prof.,_General</t>
  </si>
  <si>
    <t>DV02.-ESG Field Profesional, Sr</t>
  </si>
  <si>
    <t>DV03.-ESG Field Profesional II</t>
  </si>
  <si>
    <t>DV04.-ESG-Field Prof-DD, I</t>
  </si>
  <si>
    <t>MV01.-ESG-Field Prof-LWD, Genl</t>
  </si>
  <si>
    <t>MV02.-ESG-Field Prof-LWD, Sr</t>
  </si>
  <si>
    <t>MV03.-ESG-Field Prof-/LWD, II</t>
  </si>
  <si>
    <t>MV04.-ESG-Field Prof-/LWD, I</t>
  </si>
  <si>
    <t>MV05.-ESG-Field Prof-/LWD, Assoc</t>
  </si>
  <si>
    <t>OV01.-ESG Field Prof,.General</t>
  </si>
  <si>
    <t>OV02.-ESG Field Professional, Sr</t>
  </si>
  <si>
    <t>OV03.-ESG Field Professional II</t>
  </si>
  <si>
    <t>OV04.-ESG Field Professional I</t>
  </si>
  <si>
    <t>OV05.-ESG Field Professional Assoc.</t>
  </si>
  <si>
    <t>DV05.</t>
  </si>
  <si>
    <t>SAP</t>
  </si>
  <si>
    <t>LAST NAME</t>
  </si>
  <si>
    <t>FIRST NAME</t>
  </si>
  <si>
    <t>JOB POSITION</t>
  </si>
  <si>
    <t>PSL</t>
  </si>
  <si>
    <t>Nombre del empleado</t>
  </si>
  <si>
    <t>Barranca</t>
  </si>
  <si>
    <t>Bogotá</t>
  </si>
  <si>
    <t>Villavicencio</t>
  </si>
  <si>
    <t>Funza</t>
  </si>
  <si>
    <t>Cota</t>
  </si>
  <si>
    <t>Neiva</t>
  </si>
  <si>
    <t>Yopal</t>
  </si>
  <si>
    <t>Bases de operaciones</t>
  </si>
  <si>
    <t>PSLs</t>
  </si>
  <si>
    <t>BAROID</t>
  </si>
  <si>
    <t>CEMENTING</t>
  </si>
  <si>
    <t>SAS</t>
  </si>
  <si>
    <t>HCT</t>
  </si>
  <si>
    <t>PE</t>
  </si>
  <si>
    <t>PM</t>
  </si>
  <si>
    <t>Clientes</t>
  </si>
  <si>
    <t>Ecopetrol</t>
  </si>
  <si>
    <t>Mansarovar</t>
  </si>
  <si>
    <t>Petrominerales Huila</t>
  </si>
  <si>
    <t>Petrominerales Putumayo</t>
  </si>
  <si>
    <t>Occidental de Colombia</t>
  </si>
  <si>
    <t>Petrobras Norte (Casanare)</t>
  </si>
  <si>
    <t>Petrobras Centro (Tolima)</t>
  </si>
  <si>
    <t>Petrobras Sur (Huila)</t>
  </si>
  <si>
    <t>Petrobras TIBU</t>
  </si>
  <si>
    <t>Hocol Huila</t>
  </si>
  <si>
    <t>Hocol Tolima</t>
  </si>
  <si>
    <t>Hocol Boyacá</t>
  </si>
  <si>
    <t>Hocol Sucre Magdalena</t>
  </si>
  <si>
    <t>Hocol Piedemonte (casanare)</t>
  </si>
  <si>
    <t>Hocol Casanare Vichada</t>
  </si>
  <si>
    <t>Hocol Meta</t>
  </si>
  <si>
    <t xml:space="preserve">Pagos \ Cargo </t>
  </si>
  <si>
    <t xml:space="preserve">Mes-Año:   </t>
  </si>
  <si>
    <t>Base de Operaciones:</t>
  </si>
  <si>
    <t xml:space="preserve">Nombre del Empleado:   </t>
  </si>
  <si>
    <t>Grado</t>
  </si>
  <si>
    <t>PSL:</t>
  </si>
  <si>
    <t>Item</t>
  </si>
  <si>
    <t>Cliente (Convención)</t>
  </si>
  <si>
    <t>Proyecto/Pozo</t>
  </si>
  <si>
    <t>Tipo de Bono</t>
  </si>
  <si>
    <t xml:space="preserve">Fecha   </t>
  </si>
  <si>
    <t>Perenco</t>
  </si>
  <si>
    <t>El triunfo</t>
  </si>
  <si>
    <t>C&amp;C Energía</t>
  </si>
  <si>
    <t>Precisión</t>
  </si>
  <si>
    <t>Repsol</t>
  </si>
  <si>
    <t>Drummond</t>
  </si>
  <si>
    <t>Kappa Resources</t>
  </si>
  <si>
    <t>Pacific Stratus Energy</t>
  </si>
  <si>
    <t>Emerald Energy</t>
  </si>
  <si>
    <t>Varosa Energy</t>
  </si>
  <si>
    <t>Union Temporal Andina</t>
  </si>
  <si>
    <t>SOGOMI Energy</t>
  </si>
  <si>
    <t>Ramshorn</t>
  </si>
  <si>
    <t>Weatherford</t>
  </si>
  <si>
    <t>HUPECOL</t>
  </si>
  <si>
    <t>Conequipos</t>
  </si>
  <si>
    <t>Columbus Energy</t>
  </si>
  <si>
    <t>Rancho Hermoso</t>
  </si>
  <si>
    <t>Lukoil Overseas</t>
  </si>
  <si>
    <t>Great North Energy</t>
  </si>
  <si>
    <t>Winchester Oil and Gas</t>
  </si>
  <si>
    <t>Grantierra Energy</t>
  </si>
  <si>
    <t>Interoil</t>
  </si>
  <si>
    <t>Petrotesting</t>
  </si>
  <si>
    <t>Consorcio Colombia Energy</t>
  </si>
  <si>
    <t>Metapetroleum</t>
  </si>
  <si>
    <t>Turkish Petroleum</t>
  </si>
  <si>
    <t>Petroleos del Norte</t>
  </si>
  <si>
    <t>Union Temporal Midas</t>
  </si>
  <si>
    <t>Union Temporal IJP</t>
  </si>
  <si>
    <t>Union Temporal Petrocaribe</t>
  </si>
  <si>
    <t>Erazo Valencia</t>
  </si>
  <si>
    <t>Geoproduction</t>
  </si>
  <si>
    <t>Montecz</t>
  </si>
  <si>
    <t>Alange</t>
  </si>
  <si>
    <t>Well Logging S.A.</t>
  </si>
  <si>
    <t>ISLEMA</t>
  </si>
  <si>
    <t>SOLANA</t>
  </si>
  <si>
    <t>Union Temporal Moriche</t>
  </si>
  <si>
    <t>Desde</t>
  </si>
  <si>
    <t>Hasta</t>
  </si>
  <si>
    <t>Contrato</t>
  </si>
  <si>
    <t>Parex Resources Ltda</t>
  </si>
  <si>
    <t>New Granada Energy</t>
  </si>
  <si>
    <t>TSS</t>
  </si>
  <si>
    <t>Codigo SAP:</t>
  </si>
  <si>
    <t>Canacol</t>
  </si>
  <si>
    <t>Thorneloe</t>
  </si>
  <si>
    <t>Barrera</t>
  </si>
  <si>
    <t>Gonzalez</t>
  </si>
  <si>
    <t>Guzman</t>
  </si>
  <si>
    <t>Suarez</t>
  </si>
  <si>
    <t>Villarreal</t>
  </si>
  <si>
    <t>Chevron</t>
  </si>
  <si>
    <t>MPX</t>
  </si>
  <si>
    <t>TCC</t>
  </si>
  <si>
    <t>LMP</t>
  </si>
  <si>
    <t>Villatina</t>
  </si>
  <si>
    <t>Filtración</t>
  </si>
  <si>
    <t>Mantenimiento</t>
  </si>
  <si>
    <t xml:space="preserve">CEPCOLSA </t>
  </si>
  <si>
    <t xml:space="preserve">Equion </t>
  </si>
  <si>
    <t xml:space="preserve">Lewis energy Colombia </t>
  </si>
  <si>
    <t>Torres</t>
  </si>
  <si>
    <t>REV 4-24-12</t>
  </si>
  <si>
    <t>Petrocolombia (Santander)</t>
  </si>
  <si>
    <t>Valor probable bruto no se causa con beneficios extralegales</t>
  </si>
  <si>
    <t>Exxon</t>
  </si>
  <si>
    <t>Observaciones (Opcional)</t>
  </si>
  <si>
    <t xml:space="preserve">TOTAL DÍAS REPORTADOS    </t>
  </si>
  <si>
    <t>TOTAL DÍAS COBRADOS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</si>
  <si>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</si>
  <si>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</si>
  <si>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</si>
  <si>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</si>
  <si>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</si>
  <si>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</si>
  <si>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</si>
  <si>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</si>
  <si>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</si>
  <si>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</si>
  <si>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Item 11</t>
  </si>
  <si>
    <t>Item 12</t>
  </si>
  <si>
    <t>Item 13</t>
  </si>
  <si>
    <t>Item 14</t>
  </si>
  <si>
    <t>Item 15</t>
  </si>
  <si>
    <t>Item 16</t>
  </si>
  <si>
    <t>Item 17</t>
  </si>
  <si>
    <t>Item 18</t>
  </si>
  <si>
    <t>Item 19</t>
  </si>
  <si>
    <t>Días reportados</t>
  </si>
  <si>
    <t>Días  Cobrados</t>
  </si>
  <si>
    <t xml:space="preserve">MIN </t>
  </si>
  <si>
    <t>MAX</t>
  </si>
  <si>
    <t>OCUPADO?</t>
  </si>
  <si>
    <t>Repite?</t>
  </si>
  <si>
    <t>Proy/pozo</t>
  </si>
  <si>
    <t>ERROR?</t>
  </si>
  <si>
    <t>Días</t>
  </si>
  <si>
    <t xml:space="preserve">desde </t>
  </si>
  <si>
    <t>hasta</t>
  </si>
  <si>
    <t>consultav</t>
  </si>
  <si>
    <t>Bono Diario de Campo</t>
  </si>
  <si>
    <t>Bono de Base Diferente</t>
  </si>
  <si>
    <t>Agregar nuevo bono aca</t>
  </si>
  <si>
    <t>Lizarazo</t>
  </si>
  <si>
    <t>WP</t>
  </si>
  <si>
    <t>HDBS</t>
  </si>
  <si>
    <t>T606.</t>
  </si>
  <si>
    <t>BC33.</t>
  </si>
  <si>
    <t>PH11.</t>
  </si>
  <si>
    <t>PH10.</t>
  </si>
  <si>
    <t>PH09.</t>
  </si>
  <si>
    <t>PH08.</t>
  </si>
  <si>
    <t>PH04.</t>
  </si>
  <si>
    <t>PH03.</t>
  </si>
  <si>
    <t>Bono de Entrenamiento</t>
  </si>
  <si>
    <t>T608.</t>
  </si>
  <si>
    <t>T609.</t>
  </si>
  <si>
    <t>T610.</t>
  </si>
  <si>
    <t>T611.</t>
  </si>
  <si>
    <t>K901.</t>
  </si>
  <si>
    <t>K902.</t>
  </si>
  <si>
    <t>K903.</t>
  </si>
  <si>
    <t>PF11.</t>
  </si>
  <si>
    <t>PF10.</t>
  </si>
  <si>
    <t>PF09.</t>
  </si>
  <si>
    <t>PF08.</t>
  </si>
  <si>
    <t>PF04.</t>
  </si>
  <si>
    <t>PF03.</t>
  </si>
  <si>
    <t>K917.</t>
  </si>
  <si>
    <t>K926.</t>
  </si>
  <si>
    <t>K918.</t>
  </si>
  <si>
    <t>K927.</t>
  </si>
  <si>
    <t>K919.</t>
  </si>
  <si>
    <t>PN10.</t>
  </si>
  <si>
    <t>PC11.</t>
  </si>
  <si>
    <t>PC10.</t>
  </si>
  <si>
    <t>PC09.</t>
  </si>
  <si>
    <t>PN08.</t>
  </si>
  <si>
    <t>PC08.</t>
  </si>
  <si>
    <t>PN04.</t>
  </si>
  <si>
    <t>PC04.</t>
  </si>
  <si>
    <t>PN03.</t>
  </si>
  <si>
    <t>PC03.</t>
  </si>
  <si>
    <t>T608</t>
  </si>
  <si>
    <t>T610</t>
  </si>
  <si>
    <t>T611</t>
  </si>
  <si>
    <t>K901</t>
  </si>
  <si>
    <t>K902</t>
  </si>
  <si>
    <t>K903</t>
  </si>
  <si>
    <t>PF11</t>
  </si>
  <si>
    <t>PF10</t>
  </si>
  <si>
    <t>PF09</t>
  </si>
  <si>
    <t>PF08</t>
  </si>
  <si>
    <t>PF04</t>
  </si>
  <si>
    <t>PF03</t>
  </si>
  <si>
    <t>K917</t>
  </si>
  <si>
    <t>K926</t>
  </si>
  <si>
    <t>K918</t>
  </si>
  <si>
    <t>K927</t>
  </si>
  <si>
    <t>K919</t>
  </si>
  <si>
    <t>PN10</t>
  </si>
  <si>
    <t>PC11</t>
  </si>
  <si>
    <t>PC10</t>
  </si>
  <si>
    <t>PC09</t>
  </si>
  <si>
    <t>PN08</t>
  </si>
  <si>
    <t>PC08</t>
  </si>
  <si>
    <t>PN04</t>
  </si>
  <si>
    <t>PC04</t>
  </si>
  <si>
    <t>PN03</t>
  </si>
  <si>
    <t>PC03</t>
  </si>
  <si>
    <t>PF08-ESG-Svc Supv-I-Frac Acid</t>
  </si>
  <si>
    <t>Production Enhancement</t>
  </si>
  <si>
    <t>Gutierrez</t>
  </si>
  <si>
    <t>Mauricio</t>
  </si>
  <si>
    <t>PC11-ESG-Svc Leader-Coiled Tubing</t>
  </si>
  <si>
    <t>David</t>
  </si>
  <si>
    <t>PF11-ESG-Svc Leader-Frac Acid</t>
  </si>
  <si>
    <t>Rodriguez</t>
  </si>
  <si>
    <t>Vargas</t>
  </si>
  <si>
    <t>Jaime</t>
  </si>
  <si>
    <t>Varon</t>
  </si>
  <si>
    <t>PF09-ESG-Svc Supv II-Frac Acid</t>
  </si>
  <si>
    <t>Medina</t>
  </si>
  <si>
    <t>Marin</t>
  </si>
  <si>
    <t>Yesid</t>
  </si>
  <si>
    <t>PF04-ESG-Svc Operator II-Frac Acid</t>
  </si>
  <si>
    <t>Pedro</t>
  </si>
  <si>
    <t>PC08-ESG-Svc Supv I-Coiled Tubing</t>
  </si>
  <si>
    <t>Recalde</t>
  </si>
  <si>
    <t>Ospina</t>
  </si>
  <si>
    <t>Efrain</t>
  </si>
  <si>
    <t>Hernandez</t>
  </si>
  <si>
    <t>Ortiz</t>
  </si>
  <si>
    <t>Reinaldo</t>
  </si>
  <si>
    <t>Lugo</t>
  </si>
  <si>
    <t>Gerber</t>
  </si>
  <si>
    <t>PC04-ESG-Svc Operator II-Coiled Tubing</t>
  </si>
  <si>
    <t>Leal</t>
  </si>
  <si>
    <t>Perdomo</t>
  </si>
  <si>
    <t>Alexander</t>
  </si>
  <si>
    <t>Darwin</t>
  </si>
  <si>
    <t>PC03-ESG-Svc Operator I-Coiled Tubing</t>
  </si>
  <si>
    <t>Calderon</t>
  </si>
  <si>
    <t>K917-ESG-Tech Prof-Coiled Tubing, Sr</t>
  </si>
  <si>
    <t>Garcia</t>
  </si>
  <si>
    <t>Cediel</t>
  </si>
  <si>
    <t>Urazan</t>
  </si>
  <si>
    <t>Meneses</t>
  </si>
  <si>
    <t>Ochoa</t>
  </si>
  <si>
    <t>Cardozo</t>
  </si>
  <si>
    <t>Molina</t>
  </si>
  <si>
    <t>PF03-ESG-Svc Operator I-Frac Acid</t>
  </si>
  <si>
    <t>Campo</t>
  </si>
  <si>
    <t>Lamilla</t>
  </si>
  <si>
    <t>Sanchez</t>
  </si>
  <si>
    <t>Melo</t>
  </si>
  <si>
    <t>Lancheros</t>
  </si>
  <si>
    <t>Mosquera</t>
  </si>
  <si>
    <t>Osorio</t>
  </si>
  <si>
    <t>Sepulveda</t>
  </si>
  <si>
    <t>Reina</t>
  </si>
  <si>
    <t>Zambrano</t>
  </si>
  <si>
    <t>Trujillo</t>
  </si>
  <si>
    <t>Rojas</t>
  </si>
  <si>
    <t>Alba</t>
  </si>
  <si>
    <t>Wilmar</t>
  </si>
  <si>
    <t>Gomez</t>
  </si>
  <si>
    <t>FF05-ESG-Svc Coord</t>
  </si>
  <si>
    <t>Martinez</t>
  </si>
  <si>
    <t>Quintero</t>
  </si>
  <si>
    <t>Andrea</t>
  </si>
  <si>
    <t>Zamora</t>
  </si>
  <si>
    <t>Cardenas</t>
  </si>
  <si>
    <t>Martha</t>
  </si>
  <si>
    <t>Sandoval</t>
  </si>
  <si>
    <t>Vaca</t>
  </si>
  <si>
    <t>Alarcon</t>
  </si>
  <si>
    <t>Edwin</t>
  </si>
  <si>
    <t>Nieva</t>
  </si>
  <si>
    <t>John</t>
  </si>
  <si>
    <t>Yexcid</t>
  </si>
  <si>
    <t>Ricaurte</t>
  </si>
  <si>
    <t>Casanova</t>
  </si>
  <si>
    <t>Monroy</t>
  </si>
  <si>
    <t>Luna</t>
  </si>
  <si>
    <t>Benitez</t>
  </si>
  <si>
    <t>BC</t>
  </si>
  <si>
    <t>Juan</t>
  </si>
  <si>
    <t>Luis</t>
  </si>
  <si>
    <t>Jairo</t>
  </si>
  <si>
    <t>Carlos</t>
  </si>
  <si>
    <t>Jose</t>
  </si>
  <si>
    <t>Hector</t>
  </si>
  <si>
    <t>Jhon</t>
  </si>
  <si>
    <t>Sergio</t>
  </si>
  <si>
    <t>Camilo</t>
  </si>
  <si>
    <t>Alver</t>
  </si>
  <si>
    <t>Cristian</t>
  </si>
  <si>
    <t>Francisco</t>
  </si>
  <si>
    <t>Montana</t>
  </si>
  <si>
    <t>Castaneda</t>
  </si>
  <si>
    <t>Jimmy</t>
  </si>
  <si>
    <t>Jorge</t>
  </si>
  <si>
    <t>Oscar</t>
  </si>
  <si>
    <t>Hahiler</t>
  </si>
  <si>
    <t>Victor</t>
  </si>
  <si>
    <t>Nelson</t>
  </si>
  <si>
    <t>Milton</t>
  </si>
  <si>
    <t>Wilson</t>
  </si>
  <si>
    <t>Ruben</t>
  </si>
  <si>
    <t>Jaiver</t>
  </si>
  <si>
    <t>Danny</t>
  </si>
  <si>
    <t>Miguel</t>
  </si>
  <si>
    <t>Wilmer</t>
  </si>
  <si>
    <t>Felipe</t>
  </si>
  <si>
    <t>Freider</t>
  </si>
  <si>
    <t>Helberth</t>
  </si>
  <si>
    <t>Rodolfo</t>
  </si>
  <si>
    <t>Yubert</t>
  </si>
  <si>
    <t>Ivan</t>
  </si>
  <si>
    <t>Mario</t>
  </si>
  <si>
    <t>Patino</t>
  </si>
  <si>
    <t>Vanessa</t>
  </si>
  <si>
    <t>PC10-ESG-Svc Supv III-Coiled Tubing</t>
  </si>
  <si>
    <t>PC09-ESG-Svc Supv II-Coiled Tubing</t>
  </si>
  <si>
    <t>PF01-ESG-Operator Asst I-Frac Acid</t>
  </si>
  <si>
    <t>Halliburton</t>
  </si>
  <si>
    <t>Geopark Llanos</t>
  </si>
  <si>
    <t>Geopark Cuerva</t>
  </si>
  <si>
    <t>Geopark Yamo</t>
  </si>
  <si>
    <t>Ramirez</t>
  </si>
  <si>
    <t>Jesus</t>
  </si>
  <si>
    <t>Velasquez</t>
  </si>
  <si>
    <t>Julian</t>
  </si>
  <si>
    <t>Andres</t>
  </si>
  <si>
    <t>Barrios</t>
  </si>
  <si>
    <t>Faiver</t>
  </si>
  <si>
    <t>Edgardo</t>
  </si>
  <si>
    <t>Fanor</t>
  </si>
  <si>
    <t>Production Solutions</t>
  </si>
  <si>
    <t>PF05.</t>
  </si>
  <si>
    <t>Oxy Teca</t>
  </si>
  <si>
    <t>Petrodorado</t>
  </si>
  <si>
    <t>Enoc</t>
  </si>
  <si>
    <t>Cuellar</t>
  </si>
  <si>
    <t>Castro</t>
  </si>
  <si>
    <t>Mejia</t>
  </si>
  <si>
    <t>SF126.</t>
  </si>
  <si>
    <t>OIRU CORPORATION</t>
  </si>
  <si>
    <t>Nieto</t>
  </si>
  <si>
    <t>Edinson</t>
  </si>
  <si>
    <t>K916-ESG-Tech Prof-Coiled Tubing, Prin</t>
  </si>
  <si>
    <t>Orozco</t>
  </si>
  <si>
    <t>Narvaez</t>
  </si>
  <si>
    <t>Alex</t>
  </si>
  <si>
    <t>R453-ESG-Country/Area - PSL Ops Mgr</t>
  </si>
  <si>
    <t>VETRA</t>
  </si>
  <si>
    <t>William</t>
  </si>
  <si>
    <t>Beltran</t>
  </si>
  <si>
    <t>PC01-ESG-Operator Asst I-Coiled Tubing</t>
  </si>
  <si>
    <t>Jonathan</t>
  </si>
  <si>
    <t>Solorzano</t>
  </si>
  <si>
    <t>Jeisson</t>
  </si>
  <si>
    <t>Canizales</t>
  </si>
  <si>
    <t>Hammer</t>
  </si>
  <si>
    <t>Venegas</t>
  </si>
  <si>
    <t>Edgar</t>
  </si>
  <si>
    <t>Barroso</t>
  </si>
  <si>
    <t>Rodrigo</t>
  </si>
  <si>
    <t>Yeison</t>
  </si>
  <si>
    <t>Palencia</t>
  </si>
  <si>
    <t>Fermin</t>
  </si>
  <si>
    <t>Diego</t>
  </si>
  <si>
    <t>Rafael</t>
  </si>
  <si>
    <t>Nombre del Empleado</t>
  </si>
  <si>
    <t>Nombre del Aprobador</t>
  </si>
  <si>
    <t>Firma del Empleado</t>
  </si>
  <si>
    <t>Firma del Aprobador</t>
  </si>
  <si>
    <t>Caviedes</t>
  </si>
  <si>
    <t>T062-ESG-Tech Prof-Dir Sales, Prin</t>
  </si>
  <si>
    <t>R504-ESG-Account Rep, Bus Dev</t>
  </si>
  <si>
    <t>Gamboa</t>
  </si>
  <si>
    <t>Cesar</t>
  </si>
  <si>
    <t>Lozano</t>
  </si>
  <si>
    <t>Herrera</t>
  </si>
  <si>
    <t>Cubillos</t>
  </si>
  <si>
    <t>Carreño</t>
  </si>
  <si>
    <t>Jeferson</t>
  </si>
  <si>
    <t>Palma</t>
  </si>
  <si>
    <t>Eddy</t>
  </si>
  <si>
    <t>Morales</t>
  </si>
  <si>
    <t>Christian</t>
  </si>
  <si>
    <t>Pineda</t>
  </si>
  <si>
    <t>Jeens</t>
  </si>
  <si>
    <t>Gavilan</t>
  </si>
  <si>
    <t>Isonanyer</t>
  </si>
  <si>
    <t>Burbano</t>
  </si>
  <si>
    <t>Maria</t>
  </si>
  <si>
    <t>Fierro</t>
  </si>
  <si>
    <t>Acosta</t>
  </si>
  <si>
    <t>Tujillo</t>
  </si>
  <si>
    <t>Anderson</t>
  </si>
  <si>
    <t>Rober</t>
  </si>
  <si>
    <t>K902-ESG-Tech Prof-Frac/Acid</t>
  </si>
  <si>
    <t>PF05-ESG-Svc Spec I-Frac Acid</t>
  </si>
  <si>
    <t>SO (Sales Order)</t>
  </si>
  <si>
    <t>Serrato</t>
  </si>
  <si>
    <t>Berroteran</t>
  </si>
  <si>
    <t>Coral</t>
  </si>
  <si>
    <t>Alexis</t>
  </si>
  <si>
    <t>Julio</t>
  </si>
  <si>
    <t>Cabrera</t>
  </si>
  <si>
    <t>Diana</t>
  </si>
  <si>
    <t>Lopez</t>
  </si>
  <si>
    <t>K918-ESG-Tech Prof-Coiled Tubing</t>
  </si>
  <si>
    <t>Rivas</t>
  </si>
  <si>
    <t>Caterin</t>
  </si>
  <si>
    <t>Peña</t>
  </si>
  <si>
    <t>Ramos</t>
  </si>
  <si>
    <t>Gil</t>
  </si>
  <si>
    <t>Elmar</t>
  </si>
  <si>
    <t>Trillos</t>
  </si>
  <si>
    <t>Leandro</t>
  </si>
  <si>
    <t>PF10-ESG-Svc Supv III-Frac Acid</t>
  </si>
  <si>
    <t>Tique</t>
  </si>
  <si>
    <t>Romero</t>
  </si>
  <si>
    <t>Mayorca</t>
  </si>
  <si>
    <t>Ceballos</t>
  </si>
  <si>
    <t>Marco</t>
  </si>
  <si>
    <t>Tatiana</t>
  </si>
  <si>
    <t>PE05-ESG-Job Site Safety Leader</t>
  </si>
  <si>
    <t>Palacios</t>
  </si>
  <si>
    <t>Jinna</t>
  </si>
  <si>
    <t>Ampudia</t>
  </si>
  <si>
    <t>Tacha</t>
  </si>
  <si>
    <t>Brayan Enrique</t>
  </si>
  <si>
    <t>M007-ESG-Mechanic Technician I</t>
  </si>
  <si>
    <t>Guevara</t>
  </si>
  <si>
    <t>PE05.</t>
  </si>
  <si>
    <t>Frontera Energy</t>
  </si>
  <si>
    <t>S503-ESG-Tech Prof Leader-Technology</t>
  </si>
  <si>
    <t>K901-ESG-Tech Prof-Frac/Acid, Sr</t>
  </si>
  <si>
    <t>Neidy</t>
  </si>
  <si>
    <t>M017-ESG-Coord, Discharge Manifold Equip</t>
  </si>
  <si>
    <t>Bono CE</t>
  </si>
  <si>
    <t>Orrego</t>
  </si>
  <si>
    <t>Padilla</t>
  </si>
  <si>
    <t>Santander</t>
  </si>
  <si>
    <t>Sanabria</t>
  </si>
  <si>
    <t>Freitte</t>
  </si>
  <si>
    <t>Samboni</t>
  </si>
  <si>
    <t>Izquierdo</t>
  </si>
  <si>
    <t>Durango</t>
  </si>
  <si>
    <t>Yair</t>
  </si>
  <si>
    <t>Jennyfer</t>
  </si>
  <si>
    <t>Golman</t>
  </si>
  <si>
    <t>Albeimar</t>
  </si>
  <si>
    <t>James</t>
  </si>
  <si>
    <t>Dumer</t>
  </si>
  <si>
    <t>Guillermo</t>
  </si>
  <si>
    <t>Rusvel</t>
  </si>
  <si>
    <t>PH10-ESG-Svc Supv III-HWO</t>
  </si>
  <si>
    <t>PH05-ESG-Svc Spec-HWO, I</t>
  </si>
  <si>
    <t>R445-ESG-Mgr Sr, Business Dev Technical</t>
  </si>
  <si>
    <t>M007</t>
  </si>
  <si>
    <t>M007.</t>
  </si>
  <si>
    <t>Diaz</t>
  </si>
  <si>
    <t>Goyeneche</t>
  </si>
  <si>
    <t>Roa</t>
  </si>
  <si>
    <t>Tovar</t>
  </si>
  <si>
    <t>Salcedo</t>
  </si>
  <si>
    <t>Tellez</t>
  </si>
  <si>
    <t>Castillo</t>
  </si>
  <si>
    <t>Soto</t>
  </si>
  <si>
    <t>Vasquez</t>
  </si>
  <si>
    <t>Cadena</t>
  </si>
  <si>
    <t>Cortes</t>
  </si>
  <si>
    <t>Monje</t>
  </si>
  <si>
    <t>Aldana</t>
  </si>
  <si>
    <t>Mahecha</t>
  </si>
  <si>
    <t>Fontal</t>
  </si>
  <si>
    <t>Reinel</t>
  </si>
  <si>
    <t>Duvan</t>
  </si>
  <si>
    <t>Manuel</t>
  </si>
  <si>
    <t>Marlon</t>
  </si>
  <si>
    <t>Leonardo</t>
  </si>
  <si>
    <t>Fredy</t>
  </si>
  <si>
    <t>Kevin</t>
  </si>
  <si>
    <t>Harold</t>
  </si>
  <si>
    <t>Quiroga</t>
  </si>
  <si>
    <t>Patiño</t>
  </si>
  <si>
    <t>Herman</t>
  </si>
  <si>
    <t>Deymer</t>
  </si>
  <si>
    <t>BC653-ESG-Tech Prof-HWO, Prin</t>
  </si>
  <si>
    <t>SierraCol</t>
  </si>
  <si>
    <t>Cubides</t>
  </si>
  <si>
    <t>Parrado</t>
  </si>
  <si>
    <t>Rincon</t>
  </si>
  <si>
    <t>Harrison</t>
  </si>
  <si>
    <t>Dumar</t>
  </si>
  <si>
    <t>PH05</t>
  </si>
  <si>
    <t>PH05.</t>
  </si>
  <si>
    <t>Bolivar</t>
  </si>
  <si>
    <t>PH11-ESG-Svc Leader-HWO</t>
  </si>
  <si>
    <t>Zamorano</t>
  </si>
  <si>
    <t>Gustavo</t>
  </si>
  <si>
    <t>Jaramillo</t>
  </si>
  <si>
    <t>K125-ESG-Senior Product Champion</t>
  </si>
  <si>
    <t>Andrade</t>
  </si>
  <si>
    <t>Torcat</t>
  </si>
  <si>
    <t>Luisa</t>
  </si>
  <si>
    <t>Fernanda</t>
  </si>
  <si>
    <t>Becerra</t>
  </si>
  <si>
    <t>Linares</t>
  </si>
  <si>
    <t>Robles</t>
  </si>
  <si>
    <t>Sajonero</t>
  </si>
  <si>
    <t>Deivis</t>
  </si>
  <si>
    <t>Kheppler</t>
  </si>
  <si>
    <t>Giovanny</t>
  </si>
  <si>
    <t>R454-ESG-Country/Area PSL Service Mgr</t>
  </si>
  <si>
    <t xml:space="preserve">Hocol Atlantico </t>
  </si>
  <si>
    <t>Rueda</t>
  </si>
  <si>
    <t>Villamizar</t>
  </si>
  <si>
    <t>Brayan</t>
  </si>
  <si>
    <t>Alvaro</t>
  </si>
  <si>
    <t>Reynaldo</t>
  </si>
  <si>
    <t>Anthony</t>
  </si>
  <si>
    <t>Jhonatan</t>
  </si>
  <si>
    <t>T611-ESG-Lab Tech-Chemistry, Assoc</t>
  </si>
  <si>
    <t>X134-ESG-Techn Sales Advisor-Bus Dev, Sr</t>
  </si>
  <si>
    <t>Robayo</t>
  </si>
  <si>
    <t>Nucci</t>
  </si>
  <si>
    <t>Lizcano</t>
  </si>
  <si>
    <t>Mendez</t>
  </si>
  <si>
    <t>Freddi</t>
  </si>
  <si>
    <t>Silvia</t>
  </si>
  <si>
    <t>Ana</t>
  </si>
  <si>
    <t>T610-ESG-Lab Tech-Chemistry</t>
  </si>
  <si>
    <t xml:space="preserve">Amerisur </t>
  </si>
  <si>
    <t>Prada</t>
  </si>
  <si>
    <t>Sarmiento</t>
  </si>
  <si>
    <t>Vergara</t>
  </si>
  <si>
    <t>Christiaan</t>
  </si>
  <si>
    <t>Frontera Guatiquia</t>
  </si>
  <si>
    <t>Huertas</t>
  </si>
  <si>
    <t>Barrero</t>
  </si>
  <si>
    <t>Esteban</t>
  </si>
  <si>
    <t>Hugo</t>
  </si>
  <si>
    <t>T607-ESG-Lab Tech-Chemistry, Chief</t>
  </si>
  <si>
    <t>Enero de 2022</t>
  </si>
  <si>
    <t>Febrero de 2022</t>
  </si>
  <si>
    <t>Marzo de 2022</t>
  </si>
  <si>
    <t>Abril de 2022</t>
  </si>
  <si>
    <t>Mayo de 2022</t>
  </si>
  <si>
    <t>Junio de 2022</t>
  </si>
  <si>
    <t>Julio de 2022</t>
  </si>
  <si>
    <t>Agosto de 2022</t>
  </si>
  <si>
    <t>Septiembre de 2022</t>
  </si>
  <si>
    <t>Octubre de 2022</t>
  </si>
  <si>
    <t>Noviembre de 2022</t>
  </si>
  <si>
    <t>Diciembre de 2022</t>
  </si>
  <si>
    <t>Villalba</t>
  </si>
  <si>
    <t>Sanmiguel</t>
  </si>
  <si>
    <t>Elkin</t>
  </si>
  <si>
    <t>Nicolas</t>
  </si>
  <si>
    <t>Norman</t>
  </si>
  <si>
    <t>Florez</t>
  </si>
  <si>
    <t>Valderrama</t>
  </si>
  <si>
    <t>Tafur</t>
  </si>
  <si>
    <t>Perez</t>
  </si>
  <si>
    <t>Ives</t>
  </si>
  <si>
    <t>L042-ESG-Technical Sales Advisor, Sr</t>
  </si>
  <si>
    <r>
      <rPr>
        <b/>
        <sz val="10"/>
        <color indexed="8"/>
        <rFont val="Arial"/>
        <family val="2"/>
      </rPr>
      <t>Valor Probable Cop</t>
    </r>
    <r>
      <rPr>
        <b/>
        <u/>
        <sz val="10"/>
        <color indexed="8"/>
        <rFont val="Arial"/>
        <family val="2"/>
      </rPr>
      <t xml:space="preserve"> Bruto</t>
    </r>
  </si>
  <si>
    <r>
      <rPr>
        <b/>
        <sz val="10"/>
        <color indexed="8"/>
        <rFont val="Arial"/>
        <family val="2"/>
      </rPr>
      <t xml:space="preserve">Valor </t>
    </r>
    <r>
      <rPr>
        <b/>
        <u/>
        <sz val="10"/>
        <color indexed="8"/>
        <rFont val="Arial"/>
        <family val="2"/>
      </rPr>
      <t>Probable</t>
    </r>
    <r>
      <rPr>
        <b/>
        <sz val="10"/>
        <color indexed="8"/>
        <rFont val="Arial"/>
        <family val="2"/>
      </rPr>
      <t xml:space="preserve"> Total </t>
    </r>
    <r>
      <rPr>
        <b/>
        <u/>
        <sz val="10"/>
        <color indexed="8"/>
        <rFont val="Arial"/>
        <family val="2"/>
      </rPr>
      <t>Bruto</t>
    </r>
  </si>
  <si>
    <t>User ID</t>
  </si>
  <si>
    <t>Cedula</t>
  </si>
  <si>
    <t>Nombre</t>
  </si>
  <si>
    <t>Employee Group</t>
  </si>
  <si>
    <t>Employee Subgroup</t>
  </si>
  <si>
    <t>Cost Center</t>
  </si>
  <si>
    <t>Personnel Area</t>
  </si>
  <si>
    <t>ESG-PSL</t>
  </si>
  <si>
    <t>SUB-PSL</t>
  </si>
  <si>
    <t>Job</t>
  </si>
  <si>
    <t>Entry Date</t>
  </si>
  <si>
    <t>Date Birth</t>
  </si>
  <si>
    <t>H245740</t>
  </si>
  <si>
    <t>Albeimar Sanabria Ruiz</t>
  </si>
  <si>
    <t>Temporary</t>
  </si>
  <si>
    <t>OrdnrySal Field bns</t>
  </si>
  <si>
    <t>HES Acacias</t>
  </si>
  <si>
    <t>Frac Acid</t>
  </si>
  <si>
    <t>H211291</t>
  </si>
  <si>
    <t>Alex Ivan Coral Perez</t>
  </si>
  <si>
    <t>OrdnrySAL-OT Rg DNF</t>
  </si>
  <si>
    <t>HES Neiva</t>
  </si>
  <si>
    <t>Coile Tubing Pumping</t>
  </si>
  <si>
    <t>HB24970</t>
  </si>
  <si>
    <t>Alex Orlando Orozco Narvaez</t>
  </si>
  <si>
    <t>Regular employee</t>
  </si>
  <si>
    <t>IntgrlSalnoOTvarpy</t>
  </si>
  <si>
    <t>HES Bogota</t>
  </si>
  <si>
    <t>PSL Support</t>
  </si>
  <si>
    <t>H193262</t>
  </si>
  <si>
    <t>Alexander Morales Baicue</t>
  </si>
  <si>
    <t>HAL4415</t>
  </si>
  <si>
    <t>Alexander Nieto Suarez</t>
  </si>
  <si>
    <t>HES Yopal</t>
  </si>
  <si>
    <t>H211943</t>
  </si>
  <si>
    <t>Alexis Serrato Diaz</t>
  </si>
  <si>
    <t>Coiled Tubing Services</t>
  </si>
  <si>
    <t>H264232</t>
  </si>
  <si>
    <t>Alvaro Gutierrez Manjarres</t>
  </si>
  <si>
    <t>OrdnrySAL no var pay</t>
  </si>
  <si>
    <t>HB38290</t>
  </si>
  <si>
    <t>Alver Aneider Molina Bustamante</t>
  </si>
  <si>
    <t>H266153</t>
  </si>
  <si>
    <t>Ana Milena Mendez Penagos</t>
  </si>
  <si>
    <t>H105019</t>
  </si>
  <si>
    <t>Anderson Caviedes Ramirez</t>
  </si>
  <si>
    <t>H204767</t>
  </si>
  <si>
    <t>Andrea Quintero Rodriguez</t>
  </si>
  <si>
    <t>H256523</t>
  </si>
  <si>
    <t>Andres Felipe Cubides Gonzalez</t>
  </si>
  <si>
    <t>HES Villavicencio</t>
  </si>
  <si>
    <t>H253846</t>
  </si>
  <si>
    <t>Andres Felipe Monje Yustres</t>
  </si>
  <si>
    <t>H182251</t>
  </si>
  <si>
    <t>Andres Gomez Monje</t>
  </si>
  <si>
    <t>H264482</t>
  </si>
  <si>
    <t>Anthony Rueda Montesino</t>
  </si>
  <si>
    <t>HES Barrancabermeja</t>
  </si>
  <si>
    <t>H233991</t>
  </si>
  <si>
    <t>Brayan Enrique Ortiz Moreno</t>
  </si>
  <si>
    <t>H264464</t>
  </si>
  <si>
    <t>Brayan Mauricio Lopez Reinel</t>
  </si>
  <si>
    <t>HB47841</t>
  </si>
  <si>
    <t>Camilo Andres Montana Ovalle</t>
  </si>
  <si>
    <t>HB75117</t>
  </si>
  <si>
    <t>Camilo Andres Ochoa Garcia</t>
  </si>
  <si>
    <t>H250435</t>
  </si>
  <si>
    <t>Carlos Alberto Lopez Bejarano</t>
  </si>
  <si>
    <t>Hydraulic Work Over</t>
  </si>
  <si>
    <t>H121606</t>
  </si>
  <si>
    <t>Carlos Andres Lizarazo Manchola</t>
  </si>
  <si>
    <t>H266132</t>
  </si>
  <si>
    <t>Carlos Andres Robayo Carvajal</t>
  </si>
  <si>
    <t>H227261</t>
  </si>
  <si>
    <t>Carlos Andres Tique Cicero</t>
  </si>
  <si>
    <t>HBA9762</t>
  </si>
  <si>
    <t>Carlos Anibal Recalde Tobar</t>
  </si>
  <si>
    <t>H211629</t>
  </si>
  <si>
    <t>Carlos Eduardo Berroteran Gonzalez</t>
  </si>
  <si>
    <t>H271441</t>
  </si>
  <si>
    <t>Carlos Eduardo Florez Arenas</t>
  </si>
  <si>
    <t>HES Cota</t>
  </si>
  <si>
    <t>H196563</t>
  </si>
  <si>
    <t>Carlos Edward Lozano Rodriguez</t>
  </si>
  <si>
    <t>H103205</t>
  </si>
  <si>
    <t>Carlos Francisco Alarcon Quintero</t>
  </si>
  <si>
    <t>Union Salary</t>
  </si>
  <si>
    <t>HB24493</t>
  </si>
  <si>
    <t>Carlos Mario Urazan Diaz</t>
  </si>
  <si>
    <t>H221184</t>
  </si>
  <si>
    <t>Caterin Lorena Barrera Cortes</t>
  </si>
  <si>
    <t>H191429</t>
  </si>
  <si>
    <t>Cesar Arnulfo Gamboa Cruz</t>
  </si>
  <si>
    <t>H266729</t>
  </si>
  <si>
    <t>Christiaan Johannes Prada Castaño</t>
  </si>
  <si>
    <t>Prod Enh Support</t>
  </si>
  <si>
    <t>H230216</t>
  </si>
  <si>
    <t>Christian Camilo Ceballos Vargas</t>
  </si>
  <si>
    <t>H197326</t>
  </si>
  <si>
    <t>Christian David Campo Torrente</t>
  </si>
  <si>
    <t>H266661</t>
  </si>
  <si>
    <t>Cristian Alexis Medina Soto</t>
  </si>
  <si>
    <t>H206300</t>
  </si>
  <si>
    <t>Cristian Johan Fierro Castellanos</t>
  </si>
  <si>
    <t>HB79810</t>
  </si>
  <si>
    <t>Danny Ferney Barrera Jaimes</t>
  </si>
  <si>
    <t>HX37446</t>
  </si>
  <si>
    <t>Darwin Alberto Rodriguez Torres</t>
  </si>
  <si>
    <t>H228615</t>
  </si>
  <si>
    <t>David Santiago Mayorca Bonilla</t>
  </si>
  <si>
    <t>H262976</t>
  </si>
  <si>
    <t>Deivis Andres Linares Giraldo</t>
  </si>
  <si>
    <t>H255293</t>
  </si>
  <si>
    <t>Deymer Andres Patiño Pacheco</t>
  </si>
  <si>
    <t>H225202</t>
  </si>
  <si>
    <t>Diana Rocio Ramos Roa</t>
  </si>
  <si>
    <t>H253415</t>
  </si>
  <si>
    <t xml:space="preserve">Diego Alberto Sanchez </t>
  </si>
  <si>
    <t>H262818</t>
  </si>
  <si>
    <t>Diego Armando Guzman Perez</t>
  </si>
  <si>
    <t>H253346</t>
  </si>
  <si>
    <t>Diego Armando Vasquez Chavez</t>
  </si>
  <si>
    <t>H225499</t>
  </si>
  <si>
    <t>Diego Fernando Leal Rivera</t>
  </si>
  <si>
    <t>H269330</t>
  </si>
  <si>
    <t>Diego Fernando Villalba Cohetato</t>
  </si>
  <si>
    <t>H199393</t>
  </si>
  <si>
    <t>Diego Omar Guzman Martinez</t>
  </si>
  <si>
    <t>H257102</t>
  </si>
  <si>
    <t>Dumar Eliecer Torres Martinez</t>
  </si>
  <si>
    <t>H252417</t>
  </si>
  <si>
    <t>Dumer Alexis Samboni Imbachi</t>
  </si>
  <si>
    <t>H253427</t>
  </si>
  <si>
    <t>Duvan Robier Goyeneche Duran</t>
  </si>
  <si>
    <t>H192798</t>
  </si>
  <si>
    <t>Eddy Johnsons Guzman Polania</t>
  </si>
  <si>
    <t>H182734</t>
  </si>
  <si>
    <t>Edgar Eduardo Venegas Aviles</t>
  </si>
  <si>
    <t>H196973</t>
  </si>
  <si>
    <t>Edgar Orlando Pineda Parra</t>
  </si>
  <si>
    <t>H202425</t>
  </si>
  <si>
    <t>Edgar Oswaldo Cuellar Ramirez</t>
  </si>
  <si>
    <t>H124181</t>
  </si>
  <si>
    <t>Edgardo Perdomo Trujillo</t>
  </si>
  <si>
    <t>H253291</t>
  </si>
  <si>
    <t>Edinson Libey Fontal Rosero</t>
  </si>
  <si>
    <t>H177767</t>
  </si>
  <si>
    <t>Edinson Martinez Tovar</t>
  </si>
  <si>
    <t>HB49549</t>
  </si>
  <si>
    <t>Edwin Alonso Sepulveda Yepes</t>
  </si>
  <si>
    <t>H210320</t>
  </si>
  <si>
    <t>Edwin Eduardo Acosta Egue</t>
  </si>
  <si>
    <t>HB74282</t>
  </si>
  <si>
    <t>Edwin Fabian Cardenas Carvajal</t>
  </si>
  <si>
    <t>H266035</t>
  </si>
  <si>
    <t>Edwin Ferney Meneses Barreiro</t>
  </si>
  <si>
    <t>H228324</t>
  </si>
  <si>
    <t>Edwin Javier Quiroga Medina</t>
  </si>
  <si>
    <t>H103228</t>
  </si>
  <si>
    <t>Edwin Trujillo Ibarra</t>
  </si>
  <si>
    <t>HAL4617</t>
  </si>
  <si>
    <t>Efrain Ospina Garzon</t>
  </si>
  <si>
    <t>H269636</t>
  </si>
  <si>
    <t>Elkin Dario Herrera Valderrama</t>
  </si>
  <si>
    <t>H223335</t>
  </si>
  <si>
    <t>Elmar Alexander Gil Murillo</t>
  </si>
  <si>
    <t>HAL4619</t>
  </si>
  <si>
    <t>H268133</t>
  </si>
  <si>
    <t>Esteban Julian Huertas Garzon</t>
  </si>
  <si>
    <t>HB15059</t>
  </si>
  <si>
    <t>Faiver Barrios Vargas</t>
  </si>
  <si>
    <t>HB57561</t>
  </si>
  <si>
    <t>Fanor Trujillo Rojas</t>
  </si>
  <si>
    <t>H113499</t>
  </si>
  <si>
    <t>Felipe Andres Gomez Tamayo</t>
  </si>
  <si>
    <t>H182489</t>
  </si>
  <si>
    <t>Fermin Ricardo Palencia Gutierrez</t>
  </si>
  <si>
    <t>H261877</t>
  </si>
  <si>
    <t>Fernanda Cortes Escobar</t>
  </si>
  <si>
    <t>HB47804</t>
  </si>
  <si>
    <t>Francisco Javier Lamilla Llanos</t>
  </si>
  <si>
    <t>H198633</t>
  </si>
  <si>
    <t>Francisco Javier Ramirez Sanchez</t>
  </si>
  <si>
    <t>H265512</t>
  </si>
  <si>
    <t>Freddi Orlando Nucci Dewdney</t>
  </si>
  <si>
    <t>H253814</t>
  </si>
  <si>
    <t>Fredy Alexander Cadena Rey</t>
  </si>
  <si>
    <t>H113500</t>
  </si>
  <si>
    <t>Freider Neyith Casanova Sandoval</t>
  </si>
  <si>
    <t>HBT8159</t>
  </si>
  <si>
    <t>Gerber Lugo Valverde</t>
  </si>
  <si>
    <t>H263494</t>
  </si>
  <si>
    <t>Giovanny Smith Sajonero Torres</t>
  </si>
  <si>
    <t>H245739</t>
  </si>
  <si>
    <t>Golman Camilo Gutierrez Madrigal</t>
  </si>
  <si>
    <t>HB63279</t>
  </si>
  <si>
    <t xml:space="preserve">Gustavo Ruben Zamorano </t>
  </si>
  <si>
    <t>Inpat-Halco</t>
  </si>
  <si>
    <t>Co Inpats</t>
  </si>
  <si>
    <t>HB49649</t>
  </si>
  <si>
    <t>Hahiler Dario Medina Mejia</t>
  </si>
  <si>
    <t>H182472</t>
  </si>
  <si>
    <t>Hammer Gutierrez Quivano</t>
  </si>
  <si>
    <t>H253850</t>
  </si>
  <si>
    <t>Harold Stwar Mahecha Mayorga</t>
  </si>
  <si>
    <t>H257080</t>
  </si>
  <si>
    <t>Harrison Branly Rincon Rodriguez</t>
  </si>
  <si>
    <t>H202583</t>
  </si>
  <si>
    <t>Hector Armando Burbano Eraso</t>
  </si>
  <si>
    <t>H118573</t>
  </si>
  <si>
    <t>Helberth Arturo Montana Preciado</t>
  </si>
  <si>
    <t>Nitrogen</t>
  </si>
  <si>
    <t>H256122</t>
  </si>
  <si>
    <t>Herman Camilo Lopez Bastidas</t>
  </si>
  <si>
    <t>H268132</t>
  </si>
  <si>
    <t>Hugo Giovany Barrero Rodriguez</t>
  </si>
  <si>
    <t>H199374</t>
  </si>
  <si>
    <t>Isonanyer Castro Cohetato</t>
  </si>
  <si>
    <t>H122698</t>
  </si>
  <si>
    <t>Ivan Ricardo Luna Trujillo</t>
  </si>
  <si>
    <t>H268197</t>
  </si>
  <si>
    <t>Jaime Dario Cabrera Figueroa</t>
  </si>
  <si>
    <t>H199373</t>
  </si>
  <si>
    <t>Jaime Mauricio Gavilan Leon</t>
  </si>
  <si>
    <t>H205032</t>
  </si>
  <si>
    <t>Jairo Cubillos Palomar</t>
  </si>
  <si>
    <t>HB74280</t>
  </si>
  <si>
    <t>Jaiver Ariel Martha Fuentes</t>
  </si>
  <si>
    <t>H250167</t>
  </si>
  <si>
    <t>James Orrego Parra</t>
  </si>
  <si>
    <t>H198282</t>
  </si>
  <si>
    <t>Jeens Dario Garcia Rojas</t>
  </si>
  <si>
    <t>H192727</t>
  </si>
  <si>
    <t>Jeferson Geovani Mosquera Gutierrez</t>
  </si>
  <si>
    <t>H183040</t>
  </si>
  <si>
    <t>Jeisson Quintero Cuellar</t>
  </si>
  <si>
    <t>H242886</t>
  </si>
  <si>
    <t>Jennyfer Cardenas Gonzalez</t>
  </si>
  <si>
    <t>HB49451</t>
  </si>
  <si>
    <t>Jesus Alberto Cardozo Perdomo</t>
  </si>
  <si>
    <t>H103506</t>
  </si>
  <si>
    <t>Jhon Alexander Calderon Rincon</t>
  </si>
  <si>
    <t>H182491</t>
  </si>
  <si>
    <t>Jhon Edinson Canizales Andrade</t>
  </si>
  <si>
    <t>H263350</t>
  </si>
  <si>
    <t>Jhon Edison Becerra Osorio</t>
  </si>
  <si>
    <t>H123898</t>
  </si>
  <si>
    <t>Jhon Estivenson Patino Castaneda</t>
  </si>
  <si>
    <t>H253426</t>
  </si>
  <si>
    <t>Jhon Fredy Trujillo Barreiro</t>
  </si>
  <si>
    <t>HB39009</t>
  </si>
  <si>
    <t>Jhon Jaime Suarez Rios</t>
  </si>
  <si>
    <t>HX40691</t>
  </si>
  <si>
    <t>Jhon Jaiver Calderon Cuellar</t>
  </si>
  <si>
    <t>H264485</t>
  </si>
  <si>
    <t>Jhonatan Arley Villamizar Arcos</t>
  </si>
  <si>
    <t>HB47858</t>
  </si>
  <si>
    <t>Jimmy Alberto Castaneda Penaloza</t>
  </si>
  <si>
    <t>HB16534</t>
  </si>
  <si>
    <t>Jinna Marcela Palacios Bayona</t>
  </si>
  <si>
    <t>H103323</t>
  </si>
  <si>
    <t>John Alexander Nieva Ramirez</t>
  </si>
  <si>
    <t>H254032</t>
  </si>
  <si>
    <t xml:space="preserve">John Edsson Castillo </t>
  </si>
  <si>
    <t>HB49614</t>
  </si>
  <si>
    <t>John Fredy Reina Ladino</t>
  </si>
  <si>
    <t>HB23420</t>
  </si>
  <si>
    <t>John Wilber Gutierrez Arias</t>
  </si>
  <si>
    <t>H182412</t>
  </si>
  <si>
    <t>Jonathan Gutierrez Diaz</t>
  </si>
  <si>
    <t>H223269</t>
  </si>
  <si>
    <t>Jonathan Peña Peña</t>
  </si>
  <si>
    <t>H182454</t>
  </si>
  <si>
    <t>Jonathan Solorzano Leon</t>
  </si>
  <si>
    <t>H250166</t>
  </si>
  <si>
    <t>Jorge Augusto Garcia Rios</t>
  </si>
  <si>
    <t>HB48048</t>
  </si>
  <si>
    <t>Jorge Gonzalo Melo Bernal</t>
  </si>
  <si>
    <t>HAL4403</t>
  </si>
  <si>
    <t>Jose Arbey Medina Martinez</t>
  </si>
  <si>
    <t>H121675</t>
  </si>
  <si>
    <t>Jose Balmes Osorio Serna</t>
  </si>
  <si>
    <t>H234240</t>
  </si>
  <si>
    <t>Jose Francisco Guevara Reyes</t>
  </si>
  <si>
    <t>HX20111</t>
  </si>
  <si>
    <t>Jose Luis Jaramillo Freire</t>
  </si>
  <si>
    <t>H245736</t>
  </si>
  <si>
    <t>Jose Luis Sanchez Gutierrez</t>
  </si>
  <si>
    <t>H245666</t>
  </si>
  <si>
    <t>Jose Luis Santander Vargas</t>
  </si>
  <si>
    <t>H100596</t>
  </si>
  <si>
    <t>Jose Manuel Robles Ramos</t>
  </si>
  <si>
    <t>H266731</t>
  </si>
  <si>
    <t>Jose Nicolas Vergara Narvaez</t>
  </si>
  <si>
    <t>HBA5645</t>
  </si>
  <si>
    <t>Jose Raul Varon Chavez</t>
  </si>
  <si>
    <t>H257046</t>
  </si>
  <si>
    <t>Juan Camilo Parrado Perez</t>
  </si>
  <si>
    <t>H266736</t>
  </si>
  <si>
    <t>Juan Camilo Sarmiento Moncaleano</t>
  </si>
  <si>
    <t>H253849</t>
  </si>
  <si>
    <t>Juan Carlos Gomez Cifuentes</t>
  </si>
  <si>
    <t>H234254</t>
  </si>
  <si>
    <t>Juan Carlos Orozco Zapata</t>
  </si>
  <si>
    <t>H211610</t>
  </si>
  <si>
    <t>Juan Carlos Quintero Rodriguez</t>
  </si>
  <si>
    <t>H256826</t>
  </si>
  <si>
    <t>Juan Carlos Rodriguez Diaz</t>
  </si>
  <si>
    <t>H254680</t>
  </si>
  <si>
    <t>Juan David Gutierrez Garzon</t>
  </si>
  <si>
    <t>H173742</t>
  </si>
  <si>
    <t>Juan David Gutierrez Peña</t>
  </si>
  <si>
    <t>HB89066</t>
  </si>
  <si>
    <t>Juan Ernesto Vaca Vega</t>
  </si>
  <si>
    <t>H213085</t>
  </si>
  <si>
    <t>Juan Gabriel Orrego Montaña</t>
  </si>
  <si>
    <t>H161765</t>
  </si>
  <si>
    <t>Julian David Velasquez Salas</t>
  </si>
  <si>
    <t>H220686</t>
  </si>
  <si>
    <t>Julio Alberto Rivas Dussan</t>
  </si>
  <si>
    <t>H253164</t>
  </si>
  <si>
    <t>Kevin Eduardo Cortes Ramon</t>
  </si>
  <si>
    <t>H262852</t>
  </si>
  <si>
    <t>Kheppler Augusto Gonzalez Lopez</t>
  </si>
  <si>
    <t>H225165</t>
  </si>
  <si>
    <t>Leandro Herminzul David Valencia</t>
  </si>
  <si>
    <t>H258511</t>
  </si>
  <si>
    <t>Leonardo Medina Charry</t>
  </si>
  <si>
    <t>H253165</t>
  </si>
  <si>
    <t>Leonardo Soto Murcia</t>
  </si>
  <si>
    <t>H105709</t>
  </si>
  <si>
    <t>Luis Enrique Sanchez Arana</t>
  </si>
  <si>
    <t>HB48305</t>
  </si>
  <si>
    <t>Luis Fernando Lancheros Ortega</t>
  </si>
  <si>
    <t>H192822</t>
  </si>
  <si>
    <t>Luis Fernando Rodriguez Rozo</t>
  </si>
  <si>
    <t>HB89064</t>
  </si>
  <si>
    <t>Luis Humberto Villarreal Castro</t>
  </si>
  <si>
    <t>H245100</t>
  </si>
  <si>
    <t>Luis Octavio Padilla Vargas</t>
  </si>
  <si>
    <t>H261914</t>
  </si>
  <si>
    <t>Luis Rodrigo Andrade Cabrera</t>
  </si>
  <si>
    <t>H261477</t>
  </si>
  <si>
    <t>Luisa Maria Torcat Cedeño</t>
  </si>
  <si>
    <t>H255186</t>
  </si>
  <si>
    <t>Manuel Fernando Roa Lugo</t>
  </si>
  <si>
    <t>H233952</t>
  </si>
  <si>
    <t>Marco David Tacha Rojas</t>
  </si>
  <si>
    <t>H233209</t>
  </si>
  <si>
    <t>Maria Vargas Salas</t>
  </si>
  <si>
    <t>H123065</t>
  </si>
  <si>
    <t>Mario Alejandro Benitez Valencia</t>
  </si>
  <si>
    <t>H253406</t>
  </si>
  <si>
    <t>Marlon Vladimir Tellez Bernate</t>
  </si>
  <si>
    <t>H253848</t>
  </si>
  <si>
    <t>Mauricio Aldana Tovar</t>
  </si>
  <si>
    <t>H196884</t>
  </si>
  <si>
    <t>Mauricio Mejia Proaños</t>
  </si>
  <si>
    <t>H197238</t>
  </si>
  <si>
    <t>Miguel Angel Osorio Garcia</t>
  </si>
  <si>
    <t>H107633</t>
  </si>
  <si>
    <t>Miguel Angel Ricaurte Alvarez</t>
  </si>
  <si>
    <t>H199381</t>
  </si>
  <si>
    <t>Miguel Angel Rodriguez Mejia</t>
  </si>
  <si>
    <t>H228596</t>
  </si>
  <si>
    <t>Miguel Angel Sanchez Burbano</t>
  </si>
  <si>
    <t>HB60122</t>
  </si>
  <si>
    <t>Milton Alexander Alba Leguizamon</t>
  </si>
  <si>
    <t>H243812</t>
  </si>
  <si>
    <t>Neidy Lorena Gutierrez Morales</t>
  </si>
  <si>
    <t>H211292</t>
  </si>
  <si>
    <t>Nelson Yasmany Meneses Salcedo</t>
  </si>
  <si>
    <t>H268498</t>
  </si>
  <si>
    <t>Nicolas Manuel Cortes Arias</t>
  </si>
  <si>
    <t>H269937</t>
  </si>
  <si>
    <t>Norman Hernando Sanmiguel Cabrera</t>
  </si>
  <si>
    <t>H192790</t>
  </si>
  <si>
    <t>Oscar Alveiro Palma Maya</t>
  </si>
  <si>
    <t>H223734</t>
  </si>
  <si>
    <t>Oscar Ivan Trillos Sierra</t>
  </si>
  <si>
    <t>H270132</t>
  </si>
  <si>
    <t>Oscar Jacob Luna Gonzalez</t>
  </si>
  <si>
    <t>HB88836</t>
  </si>
  <si>
    <t>Oscar Mauricio Sandoval Romero</t>
  </si>
  <si>
    <t>H182612</t>
  </si>
  <si>
    <t>Oscar Zambrano Caicedo</t>
  </si>
  <si>
    <t>H191393</t>
  </si>
  <si>
    <t>Pedro Elias Carreño Castaño</t>
  </si>
  <si>
    <t>H178197</t>
  </si>
  <si>
    <t>Rafael Mauricio Torres Caviedes</t>
  </si>
  <si>
    <t>H258076</t>
  </si>
  <si>
    <t>Rafael Segundo Bolivar Cadena</t>
  </si>
  <si>
    <t>H253414</t>
  </si>
  <si>
    <t xml:space="preserve">Rafael Tovar </t>
  </si>
  <si>
    <t>HX12328</t>
  </si>
  <si>
    <t>Reinaldo Ortiz Escobar</t>
  </si>
  <si>
    <t>H253418</t>
  </si>
  <si>
    <t>Reinel Diaz Polania</t>
  </si>
  <si>
    <t>H264233</t>
  </si>
  <si>
    <t>Reynaldo Rueda Morales</t>
  </si>
  <si>
    <t>H210394</t>
  </si>
  <si>
    <t>Rober Tujillo Pascuas</t>
  </si>
  <si>
    <t>H206295</t>
  </si>
  <si>
    <t>Rodolfo Narvaez Ruiz</t>
  </si>
  <si>
    <t>H182981</t>
  </si>
  <si>
    <t>Rodrigo Jose Barroso Jaraba</t>
  </si>
  <si>
    <t>HB74275</t>
  </si>
  <si>
    <t>Ruben Dario Zamora Martinez</t>
  </si>
  <si>
    <t>H252874</t>
  </si>
  <si>
    <t>Rusvel Enrique Durango Henao</t>
  </si>
  <si>
    <t>H182880</t>
  </si>
  <si>
    <t>Sergio Andres Castro Cedeño</t>
  </si>
  <si>
    <t>H198375</t>
  </si>
  <si>
    <t>Sergio Andres Gonzalez Castro</t>
  </si>
  <si>
    <t>H191556</t>
  </si>
  <si>
    <t>Sergio Andres Herrera Paloma</t>
  </si>
  <si>
    <t>HB22542</t>
  </si>
  <si>
    <t>Sergio Felipe Cediel Gonzalez</t>
  </si>
  <si>
    <t>H265829</t>
  </si>
  <si>
    <t>Silvia Ximena Lizcano Gutierrez</t>
  </si>
  <si>
    <t>H228562</t>
  </si>
  <si>
    <t>Tatiana Alejandra Ospina Marin</t>
  </si>
  <si>
    <t>H228561</t>
  </si>
  <si>
    <t>Tatiana Alexandra Romero Vera</t>
  </si>
  <si>
    <t>H147515</t>
  </si>
  <si>
    <t>Vanessa Carolina Hernandez Berthe</t>
  </si>
  <si>
    <t>H211293</t>
  </si>
  <si>
    <t>Victor Alfonso Palma Herrera</t>
  </si>
  <si>
    <t>HB49979</t>
  </si>
  <si>
    <t>Victor Alfonzo Zambrano Arias</t>
  </si>
  <si>
    <t>H182988</t>
  </si>
  <si>
    <t>Victor Alonso Beltran Calderon</t>
  </si>
  <si>
    <t>H226697</t>
  </si>
  <si>
    <t>William Castro Castro</t>
  </si>
  <si>
    <t>H182974</t>
  </si>
  <si>
    <t>William Medina Gutierrez</t>
  </si>
  <si>
    <t>HB60126</t>
  </si>
  <si>
    <t>Wilmar Hernandez Ladino</t>
  </si>
  <si>
    <t>H103167</t>
  </si>
  <si>
    <t xml:space="preserve">Wilmer Jairan Rojas </t>
  </si>
  <si>
    <t>H255135</t>
  </si>
  <si>
    <t>Wilmer Salcedo Fierro</t>
  </si>
  <si>
    <t>H250165</t>
  </si>
  <si>
    <t xml:space="preserve">Wilson Armando Freitte </t>
  </si>
  <si>
    <t>H182469</t>
  </si>
  <si>
    <t>Wilson Eduardo Vargas Almario</t>
  </si>
  <si>
    <t>H253737</t>
  </si>
  <si>
    <t>Wilson Javier Morales Quinceno</t>
  </si>
  <si>
    <t>H213073</t>
  </si>
  <si>
    <t>Yair Stiven Cabrera Serrato</t>
  </si>
  <si>
    <t>H182913</t>
  </si>
  <si>
    <t>Yeison Javier Vargas Lopez</t>
  </si>
  <si>
    <t>HBT7791</t>
  </si>
  <si>
    <t>Yesid Marin Y</t>
  </si>
  <si>
    <t>H105637</t>
  </si>
  <si>
    <t>Yexcid Perdomo Vargas</t>
  </si>
  <si>
    <t>H121717</t>
  </si>
  <si>
    <t>Yubert Hamirt Monroy Plazas</t>
  </si>
  <si>
    <t>H272599</t>
  </si>
  <si>
    <t>Nelson Valderrama Palomino</t>
  </si>
  <si>
    <t>H271898</t>
  </si>
  <si>
    <t>Carlos Hernando Tafur Cardenas</t>
  </si>
  <si>
    <t>Shell</t>
  </si>
  <si>
    <t>T607</t>
  </si>
  <si>
    <t>T607.</t>
  </si>
  <si>
    <t>R472-ESG-District PSL Service Manager</t>
  </si>
  <si>
    <t>A246-ESG-Regional Quality Mgmt Leader</t>
  </si>
  <si>
    <t>Chaparro</t>
  </si>
  <si>
    <t>Escobar</t>
  </si>
  <si>
    <t>Aguillon</t>
  </si>
  <si>
    <t>H275030</t>
  </si>
  <si>
    <t>Camilo Andres Chaparro Orduz</t>
  </si>
  <si>
    <t>H271938</t>
  </si>
  <si>
    <t>Camilo Andres Perez Rodriguez</t>
  </si>
  <si>
    <t xml:space="preserve">Enoc Jhoneth Hernandez </t>
  </si>
  <si>
    <t>H272180</t>
  </si>
  <si>
    <t>Ives Manuel Hernandez Galvan</t>
  </si>
  <si>
    <t>H275031</t>
  </si>
  <si>
    <t>Jose Albeiro Escobar Cubillos</t>
  </si>
  <si>
    <t>IntgrlSalnoOTnovarpy</t>
  </si>
  <si>
    <t>H275201</t>
  </si>
  <si>
    <t>Pedro Luis Aguillon Ballesteros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</si>
</sst>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\ * #,##0.00_);_(&quot;$&quot;\ * \(#,##0.00\);_(&quot;$&quot;\ * &quot;-&quot;??_);_(@_)"/>
    <numFmt numFmtId="165" formatCode="[$-409]d\-mmm;@"/>
    <numFmt numFmtId="166" formatCode="General_)"/>
    <numFmt numFmtId="168" formatCode="_(&quot;$&quot;\ * #,##0_);_(&quot;$&quot;\ * \(#,##0\);_(&quot;$&quot;\ * &quot;-&quot;??_);_(@_)"/>
    <numFmt numFmtId="169" formatCode="[$-409]d\-mmm\-yy;@"/>
  </numFmts>
  <fonts count="5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1"/>
      <name val="Calibri"/>
      <family val="2"/>
    </font>
    <font>
      <sz val="11"/>
      <name val="Calibri"/>
      <family val="2"/>
    </font>
    <font>
      <b/>
      <sz val="8"/>
      <name val="Arial"/>
      <family val="2"/>
    </font>
    <font>
      <sz val="6"/>
      <name val="Arial"/>
      <family val="2"/>
    </font>
    <font>
      <b/>
      <sz val="7"/>
      <name val="Arial"/>
      <family val="2"/>
    </font>
    <font>
      <sz val="7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b/>
      <sz val="9"/>
      <name val="Arial"/>
      <family val="2"/>
    </font>
    <font>
      <sz val="11"/>
      <color rgb="FF444444"/>
      <name val="Segoe UI"/>
      <family val="2"/>
    </font>
    <font>
      <sz val="11"/>
      <color rgb="FF444444"/>
      <name val="Cambria"/>
      <family val="1"/>
      <scheme val="major"/>
    </font>
    <font>
      <sz val="11"/>
      <name val="Cambria"/>
      <family val="1"/>
      <scheme val="major"/>
    </font>
    <font>
      <sz val="1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Helv"/>
      <charset val="178"/>
    </font>
    <font>
      <u/>
      <sz val="10"/>
      <color rgb="FF0000FF"/>
      <name val="Arial"/>
      <family val="2"/>
    </font>
    <font>
      <u/>
      <sz val="10"/>
      <color theme="1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b/>
      <sz val="10"/>
      <color theme="1"/>
      <name val="Arial"/>
      <family val="2"/>
    </font>
    <font>
      <b/>
      <sz val="10"/>
      <color indexed="8"/>
      <name val="Arial"/>
      <family val="2"/>
    </font>
    <font>
      <b/>
      <u/>
      <sz val="10"/>
      <color indexed="8"/>
      <name val="Arial"/>
      <family val="2"/>
    </font>
    <font>
      <b/>
      <sz val="12"/>
      <color rgb="FF000000"/>
      <name val="Calibri"/>
      <family val="2"/>
    </font>
    <font>
      <b/>
      <sz val="10"/>
      <color rgb="FFFF0000"/>
      <name val="Arial"/>
      <family val="2"/>
    </font>
    <font>
      <b/>
      <sz val="12"/>
      <color theme="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bgColor theme="0" tint="-0.3499862666707357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DDDDD"/>
        <bgColor rgb="FFDDDDDD"/>
      </patternFill>
    </fill>
    <fill>
      <patternFill patternType="solid">
        <fgColor rgb="FFFFFFCC"/>
        <bgColor indexed="64"/>
      </patternFill>
    </fill>
  </fills>
  <borders count="6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thin">
        <color auto="1"/>
      </bottom>
      <diagonal/>
    </border>
    <border>
      <left style="dashDotDot">
        <color auto="1"/>
      </left>
      <right style="dashDotDot">
        <color auto="1"/>
      </right>
      <top style="thin">
        <color auto="1"/>
      </top>
      <bottom style="dashDotDot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15">
    <xf numFmtId="0" fontId="0" fillId="0" borderId="0"/>
    <xf numFmtId="164" fontId="19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0" fontId="9" fillId="0" borderId="0"/>
    <xf numFmtId="164" fontId="10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52" applyNumberFormat="0" applyFill="0" applyAlignment="0" applyProtection="0"/>
    <xf numFmtId="0" fontId="32" fillId="0" borderId="53" applyNumberFormat="0" applyFill="0" applyAlignment="0" applyProtection="0"/>
    <xf numFmtId="0" fontId="33" fillId="0" borderId="54" applyNumberFormat="0" applyFill="0" applyAlignment="0" applyProtection="0"/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6" borderId="0" applyNumberFormat="0" applyBorder="0" applyAlignment="0" applyProtection="0"/>
    <xf numFmtId="0" fontId="36" fillId="7" borderId="0" applyNumberFormat="0" applyBorder="0" applyAlignment="0" applyProtection="0"/>
    <xf numFmtId="0" fontId="37" fillId="8" borderId="55" applyNumberFormat="0" applyAlignment="0" applyProtection="0"/>
    <xf numFmtId="0" fontId="38" fillId="9" borderId="56" applyNumberFormat="0" applyAlignment="0" applyProtection="0"/>
    <xf numFmtId="0" fontId="39" fillId="9" borderId="55" applyNumberFormat="0" applyAlignment="0" applyProtection="0"/>
    <xf numFmtId="0" fontId="40" fillId="0" borderId="57" applyNumberFormat="0" applyFill="0" applyAlignment="0" applyProtection="0"/>
    <xf numFmtId="0" fontId="41" fillId="10" borderId="58" applyNumberFormat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60" applyNumberFormat="0" applyFill="0" applyAlignment="0" applyProtection="0"/>
    <xf numFmtId="0" fontId="45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45" fillId="15" borderId="0" applyNumberFormat="0" applyBorder="0" applyAlignment="0" applyProtection="0"/>
    <xf numFmtId="0" fontId="45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45" fillId="19" borderId="0" applyNumberFormat="0" applyBorder="0" applyAlignment="0" applyProtection="0"/>
    <xf numFmtId="0" fontId="45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45" fillId="23" borderId="0" applyNumberFormat="0" applyBorder="0" applyAlignment="0" applyProtection="0"/>
    <xf numFmtId="0" fontId="45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45" fillId="27" borderId="0" applyNumberFormat="0" applyBorder="0" applyAlignment="0" applyProtection="0"/>
    <xf numFmtId="0" fontId="45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45" fillId="31" borderId="0" applyNumberFormat="0" applyBorder="0" applyAlignment="0" applyProtection="0"/>
    <xf numFmtId="0" fontId="45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45" fillId="35" borderId="0" applyNumberFormat="0" applyBorder="0" applyAlignment="0" applyProtection="0"/>
    <xf numFmtId="0" fontId="8" fillId="0" borderId="0"/>
    <xf numFmtId="0" fontId="8" fillId="11" borderId="59" applyNumberFormat="0" applyFont="0" applyAlignment="0" applyProtection="0"/>
    <xf numFmtId="0" fontId="10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10" fillId="0" borderId="0"/>
    <xf numFmtId="166" fontId="46" fillId="0" borderId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7" fillId="11" borderId="5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0" borderId="0"/>
    <xf numFmtId="0" fontId="5" fillId="0" borderId="0"/>
    <xf numFmtId="0" fontId="4" fillId="0" borderId="0"/>
    <xf numFmtId="0" fontId="4" fillId="11" borderId="5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0" fontId="4" fillId="0" borderId="0"/>
    <xf numFmtId="0" fontId="4" fillId="0" borderId="0"/>
    <xf numFmtId="0" fontId="4" fillId="11" borderId="59" applyNumberFormat="0" applyFont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11" borderId="5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44" fontId="10" fillId="0" borderId="0" applyFont="0" applyFill="0" applyBorder="0" applyAlignment="0" applyProtection="0"/>
    <xf numFmtId="0" fontId="3" fillId="0" borderId="0"/>
    <xf numFmtId="0" fontId="2" fillId="0" borderId="0"/>
    <xf numFmtId="0" fontId="1" fillId="0" borderId="0"/>
  </cellStyleXfs>
  <cellXfs count="203">
    <xf numFmtId="0" fontId="0" fillId="0" borderId="0" xfId="0"/>
    <xf numFmtId="0" fontId="12" fillId="0" borderId="1" xfId="2" applyFont="1" applyBorder="1"/>
    <xf numFmtId="0" fontId="10" fillId="0" borderId="0" xfId="2"/>
    <xf numFmtId="0" fontId="10" fillId="0" borderId="2" xfId="2" applyBorder="1"/>
    <xf numFmtId="0" fontId="10" fillId="0" borderId="3" xfId="2" applyBorder="1"/>
    <xf numFmtId="14" fontId="10" fillId="0" borderId="0" xfId="2" applyNumberFormat="1"/>
    <xf numFmtId="0" fontId="10" fillId="0" borderId="4" xfId="2" applyBorder="1"/>
    <xf numFmtId="0" fontId="10" fillId="0" borderId="6" xfId="2" applyBorder="1"/>
    <xf numFmtId="0" fontId="10" fillId="0" borderId="7" xfId="2" applyBorder="1"/>
    <xf numFmtId="0" fontId="10" fillId="0" borderId="9" xfId="2" applyBorder="1"/>
    <xf numFmtId="0" fontId="12" fillId="0" borderId="10" xfId="2" applyFont="1" applyBorder="1"/>
    <xf numFmtId="0" fontId="0" fillId="0" borderId="0" xfId="0" applyProtection="1"/>
    <xf numFmtId="0" fontId="10" fillId="0" borderId="0" xfId="2" applyBorder="1" applyAlignment="1" applyProtection="1">
      <alignment horizontal="center" vertical="center"/>
      <protection hidden="1"/>
    </xf>
    <xf numFmtId="0" fontId="10" fillId="0" borderId="19" xfId="2" applyBorder="1"/>
    <xf numFmtId="0" fontId="0" fillId="0" borderId="4" xfId="0" applyBorder="1" applyAlignment="1">
      <alignment wrapText="1"/>
    </xf>
    <xf numFmtId="0" fontId="10" fillId="0" borderId="0" xfId="0" applyFont="1"/>
    <xf numFmtId="0" fontId="10" fillId="0" borderId="41" xfId="2" applyBorder="1"/>
    <xf numFmtId="0" fontId="14" fillId="0" borderId="23" xfId="0" applyFont="1" applyBorder="1"/>
    <xf numFmtId="1" fontId="10" fillId="0" borderId="0" xfId="2" applyNumberFormat="1"/>
    <xf numFmtId="1" fontId="12" fillId="0" borderId="11" xfId="2" applyNumberFormat="1" applyFont="1" applyBorder="1" applyAlignment="1">
      <alignment horizontal="center"/>
    </xf>
    <xf numFmtId="1" fontId="12" fillId="0" borderId="12" xfId="2" applyNumberFormat="1" applyFont="1" applyBorder="1" applyAlignment="1">
      <alignment horizontal="center"/>
    </xf>
    <xf numFmtId="1" fontId="12" fillId="0" borderId="13" xfId="2" applyNumberFormat="1" applyFont="1" applyBorder="1" applyAlignment="1">
      <alignment horizontal="center"/>
    </xf>
    <xf numFmtId="0" fontId="10" fillId="0" borderId="15" xfId="2" applyBorder="1"/>
    <xf numFmtId="0" fontId="10" fillId="0" borderId="14" xfId="2" applyBorder="1"/>
    <xf numFmtId="0" fontId="10" fillId="0" borderId="16" xfId="2" applyBorder="1"/>
    <xf numFmtId="0" fontId="10" fillId="0" borderId="17" xfId="2" applyBorder="1"/>
    <xf numFmtId="14" fontId="10" fillId="0" borderId="36" xfId="2" applyNumberFormat="1" applyBorder="1" applyAlignment="1">
      <alignment horizontal="center"/>
    </xf>
    <xf numFmtId="0" fontId="10" fillId="0" borderId="12" xfId="2" applyBorder="1" applyAlignment="1">
      <alignment horizontal="center"/>
    </xf>
    <xf numFmtId="0" fontId="10" fillId="0" borderId="14" xfId="2" applyBorder="1" applyAlignment="1">
      <alignment horizontal="center"/>
    </xf>
    <xf numFmtId="0" fontId="10" fillId="0" borderId="48" xfId="2" applyBorder="1"/>
    <xf numFmtId="0" fontId="10" fillId="0" borderId="20" xfId="2" applyBorder="1"/>
    <xf numFmtId="0" fontId="10" fillId="0" borderId="49" xfId="2" applyBorder="1"/>
    <xf numFmtId="0" fontId="10" fillId="0" borderId="4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26" fillId="0" borderId="0" xfId="0" applyFont="1"/>
    <xf numFmtId="0" fontId="10" fillId="0" borderId="5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0" fillId="0" borderId="45" xfId="2" applyBorder="1"/>
    <xf numFmtId="0" fontId="28" fillId="0" borderId="15" xfId="2" applyFont="1" applyBorder="1"/>
    <xf numFmtId="0" fontId="28" fillId="0" borderId="11" xfId="2" applyFont="1" applyBorder="1"/>
    <xf numFmtId="0" fontId="28" fillId="0" borderId="12" xfId="2" applyFont="1" applyBorder="1"/>
    <xf numFmtId="0" fontId="28" fillId="0" borderId="13" xfId="2" applyFont="1" applyBorder="1"/>
    <xf numFmtId="0" fontId="28" fillId="0" borderId="14" xfId="2" applyFont="1" applyBorder="1"/>
    <xf numFmtId="0" fontId="27" fillId="0" borderId="18" xfId="0" applyFont="1" applyBorder="1"/>
    <xf numFmtId="14" fontId="10" fillId="0" borderId="18" xfId="2" applyNumberFormat="1" applyBorder="1" applyAlignment="1">
      <alignment horizontal="center"/>
    </xf>
    <xf numFmtId="0" fontId="10" fillId="0" borderId="0" xfId="2" applyAlignment="1" applyProtection="1">
      <alignment horizontal="center" vertical="center"/>
      <protection hidden="1"/>
    </xf>
    <xf numFmtId="0" fontId="11" fillId="0" borderId="0" xfId="2" applyFont="1" applyAlignment="1" applyProtection="1">
      <alignment horizontal="center" vertical="center"/>
      <protection hidden="1"/>
    </xf>
    <xf numFmtId="0" fontId="10" fillId="0" borderId="24" xfId="2" applyBorder="1" applyAlignment="1" applyProtection="1">
      <alignment horizontal="center" vertical="center"/>
      <protection hidden="1"/>
    </xf>
    <xf numFmtId="0" fontId="10" fillId="0" borderId="25" xfId="2" applyBorder="1" applyAlignment="1" applyProtection="1">
      <alignment horizontal="center" vertical="center"/>
      <protection hidden="1"/>
    </xf>
    <xf numFmtId="0" fontId="10" fillId="0" borderId="26" xfId="2" applyBorder="1" applyAlignment="1" applyProtection="1">
      <alignment horizontal="center" vertical="center"/>
      <protection hidden="1"/>
    </xf>
    <xf numFmtId="0" fontId="10" fillId="0" borderId="27" xfId="2" applyBorder="1" applyAlignment="1" applyProtection="1">
      <alignment horizontal="center" vertical="center"/>
      <protection hidden="1"/>
    </xf>
    <xf numFmtId="165" fontId="10" fillId="0" borderId="0" xfId="2" applyNumberFormat="1" applyAlignment="1" applyProtection="1">
      <alignment horizontal="center" vertical="center"/>
      <protection hidden="1"/>
    </xf>
    <xf numFmtId="0" fontId="10" fillId="0" borderId="0" xfId="2" applyAlignment="1" applyProtection="1">
      <alignment horizontal="center"/>
      <protection hidden="1"/>
    </xf>
    <xf numFmtId="0" fontId="11" fillId="0" borderId="0" xfId="2" applyFont="1" applyAlignment="1" applyProtection="1">
      <alignment horizontal="center"/>
      <protection hidden="1"/>
    </xf>
    <xf numFmtId="0" fontId="12" fillId="0" borderId="0" xfId="2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5" fillId="0" borderId="0" xfId="2" applyFont="1" applyAlignment="1" applyProtection="1">
      <alignment horizontal="right"/>
      <protection hidden="1"/>
    </xf>
    <xf numFmtId="0" fontId="18" fillId="0" borderId="0" xfId="2" applyFont="1" applyAlignment="1" applyProtection="1">
      <alignment horizontal="right"/>
      <protection hidden="1"/>
    </xf>
    <xf numFmtId="0" fontId="15" fillId="0" borderId="0" xfId="2" applyFont="1" applyAlignment="1" applyProtection="1">
      <alignment horizontal="center"/>
      <protection hidden="1"/>
    </xf>
    <xf numFmtId="16" fontId="10" fillId="0" borderId="7" xfId="2" applyNumberFormat="1" applyBorder="1"/>
    <xf numFmtId="0" fontId="25" fillId="2" borderId="21" xfId="2" applyFont="1" applyFill="1" applyBorder="1" applyAlignment="1" applyProtection="1">
      <alignment horizontal="center" vertical="center"/>
      <protection hidden="1"/>
    </xf>
    <xf numFmtId="0" fontId="10" fillId="0" borderId="0" xfId="2" applyAlignment="1" applyProtection="1">
      <alignment vertical="center"/>
      <protection hidden="1"/>
    </xf>
    <xf numFmtId="0" fontId="17" fillId="0" borderId="0" xfId="2" applyFont="1" applyAlignment="1" applyProtection="1">
      <alignment horizontal="right" vertical="center"/>
      <protection hidden="1"/>
    </xf>
    <xf numFmtId="0" fontId="10" fillId="0" borderId="0" xfId="2" applyBorder="1" applyAlignment="1" applyProtection="1">
      <alignment vertical="center"/>
      <protection hidden="1"/>
    </xf>
    <xf numFmtId="0" fontId="22" fillId="0" borderId="0" xfId="2" applyFont="1" applyAlignment="1" applyProtection="1">
      <alignment horizontal="center"/>
      <protection hidden="1"/>
    </xf>
    <xf numFmtId="0" fontId="18" fillId="0" borderId="0" xfId="2" applyFont="1" applyAlignment="1" applyProtection="1">
      <alignment horizontal="right" vertical="center"/>
      <protection hidden="1"/>
    </xf>
    <xf numFmtId="0" fontId="29" fillId="0" borderId="8" xfId="2" applyFont="1" applyBorder="1" applyAlignment="1" applyProtection="1">
      <alignment horizontal="center"/>
      <protection hidden="1"/>
    </xf>
    <xf numFmtId="0" fontId="20" fillId="0" borderId="0" xfId="2" applyFont="1" applyBorder="1" applyAlignment="1" applyProtection="1">
      <alignment horizontal="center"/>
      <protection hidden="1"/>
    </xf>
    <xf numFmtId="0" fontId="10" fillId="0" borderId="1" xfId="2" applyBorder="1" applyAlignment="1" applyProtection="1">
      <alignment horizontal="center" vertical="center" shrinkToFit="1"/>
      <protection locked="0"/>
    </xf>
    <xf numFmtId="14" fontId="10" fillId="0" borderId="1" xfId="2" applyNumberFormat="1" applyBorder="1" applyAlignment="1" applyProtection="1">
      <alignment horizontal="center" vertical="center" shrinkToFit="1"/>
      <protection locked="0"/>
    </xf>
    <xf numFmtId="0" fontId="10" fillId="0" borderId="0" xfId="2" applyAlignment="1" applyProtection="1">
      <alignment horizontal="center" vertical="center"/>
      <protection locked="0" hidden="1"/>
    </xf>
    <xf numFmtId="0" fontId="22" fillId="0" borderId="15" xfId="2" applyFont="1" applyBorder="1" applyAlignment="1" applyProtection="1">
      <alignment horizontal="center" vertical="center"/>
      <protection hidden="1"/>
    </xf>
    <xf numFmtId="0" fontId="14" fillId="0" borderId="0" xfId="3" applyFont="1"/>
    <xf numFmtId="0" fontId="14" fillId="0" borderId="0" xfId="3" applyFont="1" applyAlignment="1">
      <alignment horizontal="center"/>
    </xf>
    <xf numFmtId="0" fontId="10" fillId="0" borderId="0" xfId="2" applyAlignment="1" applyProtection="1">
      <alignment horizontal="center" vertical="center"/>
      <protection locked="0"/>
    </xf>
    <xf numFmtId="0" fontId="17" fillId="0" borderId="0" xfId="2" applyFont="1" applyBorder="1" applyAlignment="1" applyProtection="1">
      <alignment horizontal="right" vertical="center"/>
      <protection hidden="1"/>
    </xf>
    <xf numFmtId="0" fontId="10" fillId="0" borderId="0" xfId="2" applyBorder="1" applyAlignment="1" applyProtection="1">
      <alignment vertical="center"/>
    </xf>
    <xf numFmtId="0" fontId="18" fillId="0" borderId="0" xfId="2" applyFont="1" applyBorder="1" applyAlignment="1" applyProtection="1">
      <alignment horizontal="right" vertical="center"/>
      <protection hidden="1"/>
    </xf>
    <xf numFmtId="0" fontId="18" fillId="0" borderId="0" xfId="2" applyFont="1" applyBorder="1" applyAlignment="1" applyProtection="1">
      <alignment horizontal="center" vertical="center"/>
      <protection hidden="1"/>
    </xf>
    <xf numFmtId="0" fontId="17" fillId="0" borderId="0" xfId="2" applyFont="1" applyBorder="1" applyAlignment="1" applyProtection="1">
      <alignment horizontal="center" vertical="center"/>
      <protection hidden="1"/>
    </xf>
    <xf numFmtId="0" fontId="10" fillId="0" borderId="0" xfId="2" applyBorder="1" applyAlignment="1" applyProtection="1">
      <alignment horizontal="center" vertical="center"/>
    </xf>
    <xf numFmtId="0" fontId="11" fillId="0" borderId="0" xfId="2" applyFont="1" applyBorder="1" applyAlignment="1" applyProtection="1">
      <alignment horizontal="center" vertical="center"/>
      <protection hidden="1"/>
    </xf>
    <xf numFmtId="0" fontId="17" fillId="0" borderId="0" xfId="2" applyFont="1" applyBorder="1" applyAlignment="1" applyProtection="1">
      <alignment horizontal="center" vertical="center"/>
    </xf>
    <xf numFmtId="0" fontId="10" fillId="0" borderId="0" xfId="2" applyAlignment="1" applyProtection="1">
      <alignment horizontal="center"/>
    </xf>
    <xf numFmtId="0" fontId="10" fillId="0" borderId="23" xfId="2" applyBorder="1"/>
    <xf numFmtId="0" fontId="10" fillId="0" borderId="2" xfId="0" applyFont="1" applyBorder="1"/>
    <xf numFmtId="16" fontId="10" fillId="0" borderId="4" xfId="2" applyNumberFormat="1" applyBorder="1"/>
    <xf numFmtId="16" fontId="10" fillId="0" borderId="2" xfId="2" applyNumberFormat="1" applyBorder="1"/>
    <xf numFmtId="16" fontId="10" fillId="0" borderId="3" xfId="2" applyNumberFormat="1" applyBorder="1"/>
    <xf numFmtId="0" fontId="12" fillId="0" borderId="50" xfId="2" applyFont="1" applyBorder="1"/>
    <xf numFmtId="0" fontId="10" fillId="0" borderId="34" xfId="2" applyBorder="1"/>
    <xf numFmtId="0" fontId="49" fillId="0" borderId="0" xfId="2" applyFont="1" applyFill="1" applyBorder="1" applyAlignment="1" applyProtection="1">
      <alignment horizontal="center"/>
      <protection hidden="1"/>
    </xf>
    <xf numFmtId="0" fontId="50" fillId="0" borderId="0" xfId="2" applyFont="1" applyFill="1" applyBorder="1" applyAlignment="1" applyProtection="1">
      <alignment horizontal="center"/>
      <protection locked="0" hidden="1"/>
    </xf>
    <xf numFmtId="0" fontId="50" fillId="0" borderId="0" xfId="2" applyFont="1" applyBorder="1" applyAlignment="1" applyProtection="1">
      <alignment horizontal="center"/>
      <protection hidden="1"/>
    </xf>
    <xf numFmtId="0" fontId="16" fillId="0" borderId="15" xfId="2" applyFont="1" applyBorder="1" applyAlignment="1" applyProtection="1">
      <alignment horizontal="center" vertical="center"/>
      <protection hidden="1"/>
    </xf>
    <xf numFmtId="0" fontId="10" fillId="0" borderId="15" xfId="2" applyBorder="1" applyAlignment="1" applyProtection="1">
      <alignment horizontal="center" vertical="center"/>
      <protection locked="0"/>
    </xf>
    <xf numFmtId="0" fontId="12" fillId="3" borderId="15" xfId="0" applyFont="1" applyFill="1" applyBorder="1" applyAlignment="1">
      <alignment horizontal="center"/>
    </xf>
    <xf numFmtId="0" fontId="13" fillId="0" borderId="0" xfId="3" applyFont="1" applyAlignment="1">
      <alignment horizontal="center"/>
    </xf>
    <xf numFmtId="0" fontId="25" fillId="2" borderId="15" xfId="2" applyFont="1" applyFill="1" applyBorder="1" applyAlignment="1" applyProtection="1">
      <alignment horizontal="center" vertical="center"/>
      <protection hidden="1"/>
    </xf>
    <xf numFmtId="0" fontId="0" fillId="0" borderId="15" xfId="0" applyBorder="1" applyAlignment="1">
      <alignment vertical="top"/>
    </xf>
    <xf numFmtId="0" fontId="0" fillId="0" borderId="0" xfId="0" applyAlignment="1">
      <alignment horizontal="left"/>
    </xf>
    <xf numFmtId="0" fontId="56" fillId="36" borderId="61" xfId="114" applyFont="1" applyFill="1" applyBorder="1" applyAlignment="1">
      <alignment horizontal="center" vertical="center"/>
    </xf>
    <xf numFmtId="169" fontId="56" fillId="36" borderId="61" xfId="114" applyNumberFormat="1" applyFont="1" applyFill="1" applyBorder="1" applyAlignment="1">
      <alignment horizontal="center" vertical="center"/>
    </xf>
    <xf numFmtId="0" fontId="1" fillId="0" borderId="0" xfId="114" applyAlignment="1">
      <alignment horizontal="center" vertical="center"/>
    </xf>
    <xf numFmtId="169" fontId="1" fillId="0" borderId="0" xfId="114" applyNumberFormat="1" applyAlignment="1">
      <alignment horizontal="center" vertical="center"/>
    </xf>
    <xf numFmtId="0" fontId="12" fillId="2" borderId="15" xfId="2" applyFont="1" applyFill="1" applyBorder="1" applyAlignment="1" applyProtection="1">
      <alignment horizontal="center" vertical="center" wrapText="1"/>
      <protection hidden="1"/>
    </xf>
    <xf numFmtId="0" fontId="10" fillId="0" borderId="15" xfId="2" applyFont="1" applyBorder="1" applyAlignment="1" applyProtection="1">
      <alignment horizontal="center" vertical="center" shrinkToFit="1"/>
      <protection locked="0"/>
    </xf>
    <xf numFmtId="0" fontId="10" fillId="0" borderId="34" xfId="2" applyFont="1" applyBorder="1" applyAlignment="1" applyProtection="1">
      <alignment horizontal="center" vertical="center"/>
      <protection locked="0"/>
    </xf>
    <xf numFmtId="0" fontId="10" fillId="0" borderId="21" xfId="2" applyFont="1" applyBorder="1" applyAlignment="1" applyProtection="1">
      <alignment horizontal="center" vertical="center"/>
      <protection locked="0"/>
    </xf>
    <xf numFmtId="165" fontId="10" fillId="0" borderId="15" xfId="2" applyNumberFormat="1" applyFont="1" applyBorder="1" applyAlignment="1" applyProtection="1">
      <alignment horizontal="center" vertical="center"/>
      <protection locked="0"/>
    </xf>
    <xf numFmtId="0" fontId="10" fillId="0" borderId="15" xfId="2" applyFont="1" applyBorder="1" applyAlignment="1" applyProtection="1">
      <alignment horizontal="center" vertical="center" wrapText="1" shrinkToFit="1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165" fontId="10" fillId="0" borderId="36" xfId="2" applyNumberFormat="1" applyFont="1" applyBorder="1" applyAlignment="1" applyProtection="1">
      <alignment horizontal="center" vertical="center"/>
      <protection locked="0"/>
    </xf>
    <xf numFmtId="0" fontId="10" fillId="0" borderId="36" xfId="2" applyFont="1" applyBorder="1" applyAlignment="1" applyProtection="1">
      <alignment horizontal="center" vertical="center" wrapText="1" shrinkToFit="1"/>
      <protection locked="0"/>
    </xf>
    <xf numFmtId="0" fontId="10" fillId="0" borderId="0" xfId="2" applyAlignment="1" applyProtection="1">
      <alignment horizontal="center" vertical="center" shrinkToFit="1"/>
      <protection locked="0"/>
    </xf>
    <xf numFmtId="0" fontId="11" fillId="0" borderId="0" xfId="2" applyFont="1" applyAlignment="1" applyProtection="1">
      <alignment horizontal="center" vertical="center"/>
      <protection locked="0"/>
    </xf>
    <xf numFmtId="0" fontId="10" fillId="0" borderId="15" xfId="2" applyFont="1" applyBorder="1" applyAlignment="1" applyProtection="1">
      <alignment horizontal="center" vertical="center"/>
    </xf>
    <xf numFmtId="164" fontId="10" fillId="0" borderId="15" xfId="1" applyFont="1" applyBorder="1" applyAlignment="1" applyProtection="1">
      <alignment horizontal="center" vertical="center"/>
    </xf>
    <xf numFmtId="164" fontId="10" fillId="0" borderId="37" xfId="1" applyFont="1" applyBorder="1" applyAlignment="1" applyProtection="1">
      <alignment horizontal="center" vertical="center"/>
    </xf>
    <xf numFmtId="0" fontId="25" fillId="0" borderId="46" xfId="2" applyFont="1" applyBorder="1" applyAlignment="1" applyProtection="1">
      <alignment horizontal="center" vertical="center"/>
    </xf>
    <xf numFmtId="0" fontId="17" fillId="0" borderId="38" xfId="2" applyFont="1" applyBorder="1" applyAlignment="1" applyProtection="1">
      <alignment horizontal="center" vertical="center"/>
    </xf>
    <xf numFmtId="164" fontId="10" fillId="0" borderId="34" xfId="1" applyFont="1" applyBorder="1" applyAlignment="1" applyProtection="1">
      <alignment horizontal="center" vertical="center"/>
    </xf>
    <xf numFmtId="0" fontId="0" fillId="0" borderId="0" xfId="0" applyProtection="1">
      <protection hidden="1"/>
    </xf>
    <xf numFmtId="0" fontId="50" fillId="0" borderId="0" xfId="2" applyFont="1" applyAlignment="1" applyProtection="1">
      <alignment horizontal="center" vertical="center"/>
      <protection hidden="1"/>
    </xf>
    <xf numFmtId="0" fontId="57" fillId="37" borderId="15" xfId="0" applyNumberFormat="1" applyFont="1" applyFill="1" applyBorder="1" applyAlignment="1" applyProtection="1">
      <alignment horizontal="center" vertical="center"/>
      <protection locked="0"/>
    </xf>
    <xf numFmtId="1" fontId="50" fillId="0" borderId="0" xfId="2" applyNumberFormat="1" applyFont="1" applyAlignment="1" applyProtection="1">
      <alignment horizontal="center"/>
    </xf>
    <xf numFmtId="0" fontId="50" fillId="0" borderId="0" xfId="2" applyFont="1" applyBorder="1" applyAlignment="1" applyProtection="1">
      <alignment horizontal="center" vertical="center"/>
      <protection hidden="1"/>
    </xf>
    <xf numFmtId="0" fontId="50" fillId="0" borderId="0" xfId="2" applyFont="1" applyAlignment="1" applyProtection="1">
      <alignment horizontal="center"/>
      <protection hidden="1"/>
    </xf>
    <xf numFmtId="0" fontId="10" fillId="0" borderId="10" xfId="2" applyBorder="1"/>
    <xf numFmtId="16" fontId="10" fillId="0" borderId="0" xfId="2" applyNumberFormat="1"/>
    <xf numFmtId="0" fontId="12" fillId="0" borderId="11" xfId="2" applyFont="1" applyBorder="1"/>
    <xf numFmtId="0" fontId="12" fillId="0" borderId="13" xfId="2" applyFont="1" applyBorder="1"/>
    <xf numFmtId="0" fontId="12" fillId="0" borderId="47" xfId="2" applyFont="1" applyBorder="1" applyAlignment="1">
      <alignment horizontal="center"/>
    </xf>
    <xf numFmtId="0" fontId="10" fillId="0" borderId="5" xfId="2" applyBorder="1"/>
    <xf numFmtId="0" fontId="10" fillId="0" borderId="8" xfId="2" applyBorder="1"/>
    <xf numFmtId="0" fontId="28" fillId="0" borderId="17" xfId="2" applyFont="1" applyBorder="1"/>
    <xf numFmtId="0" fontId="28" fillId="0" borderId="2" xfId="2" applyFont="1" applyBorder="1"/>
    <xf numFmtId="0" fontId="0" fillId="0" borderId="11" xfId="0" applyBorder="1" applyAlignment="1">
      <alignment wrapText="1"/>
    </xf>
    <xf numFmtId="0" fontId="0" fillId="0" borderId="35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3" xfId="0" applyBorder="1" applyAlignment="1">
      <alignment wrapText="1"/>
    </xf>
    <xf numFmtId="0" fontId="0" fillId="0" borderId="14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15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24" xfId="0" applyBorder="1" applyAlignment="1">
      <alignment wrapText="1"/>
    </xf>
    <xf numFmtId="0" fontId="0" fillId="0" borderId="28" xfId="0" applyBorder="1" applyAlignment="1">
      <alignment wrapText="1"/>
    </xf>
    <xf numFmtId="0" fontId="0" fillId="0" borderId="39" xfId="0" applyBorder="1" applyAlignment="1">
      <alignment wrapText="1"/>
    </xf>
    <xf numFmtId="0" fontId="0" fillId="0" borderId="40" xfId="0" applyBorder="1" applyAlignment="1">
      <alignment wrapText="1"/>
    </xf>
    <xf numFmtId="0" fontId="0" fillId="0" borderId="0" xfId="0" applyAlignment="1">
      <alignment wrapText="1"/>
    </xf>
    <xf numFmtId="0" fontId="0" fillId="0" borderId="33" xfId="0" applyBorder="1" applyAlignment="1">
      <alignment wrapText="1"/>
    </xf>
    <xf numFmtId="0" fontId="0" fillId="0" borderId="29" xfId="0" applyBorder="1" applyAlignment="1">
      <alignment wrapText="1"/>
    </xf>
    <xf numFmtId="0" fontId="0" fillId="0" borderId="36" xfId="0" applyBorder="1" applyAlignment="1">
      <alignment wrapText="1"/>
    </xf>
    <xf numFmtId="0" fontId="0" fillId="0" borderId="18" xfId="0" applyBorder="1" applyAlignment="1">
      <alignment wrapText="1"/>
    </xf>
    <xf numFmtId="0" fontId="0" fillId="0" borderId="19" xfId="0" applyBorder="1" applyAlignment="1">
      <alignment wrapText="1"/>
    </xf>
    <xf numFmtId="0" fontId="0" fillId="0" borderId="30" xfId="0" applyBorder="1" applyAlignment="1">
      <alignment wrapText="1"/>
    </xf>
    <xf numFmtId="0" fontId="0" fillId="0" borderId="37" xfId="0" applyBorder="1" applyAlignment="1">
      <alignment wrapText="1"/>
    </xf>
    <xf numFmtId="0" fontId="0" fillId="0" borderId="31" xfId="0" applyBorder="1" applyAlignment="1">
      <alignment wrapText="1"/>
    </xf>
    <xf numFmtId="0" fontId="0" fillId="0" borderId="26" xfId="0" applyBorder="1" applyAlignment="1">
      <alignment wrapText="1"/>
    </xf>
    <xf numFmtId="0" fontId="0" fillId="0" borderId="32" xfId="0" applyBorder="1" applyAlignment="1">
      <alignment wrapText="1"/>
    </xf>
    <xf numFmtId="0" fontId="10" fillId="0" borderId="42" xfId="2" applyBorder="1"/>
    <xf numFmtId="0" fontId="12" fillId="2" borderId="24" xfId="2" applyFont="1" applyFill="1" applyBorder="1" applyAlignment="1" applyProtection="1">
      <alignment horizontal="center" vertical="center" wrapText="1"/>
      <protection hidden="1"/>
    </xf>
    <xf numFmtId="0" fontId="12" fillId="0" borderId="4" xfId="2" applyFont="1" applyBorder="1" applyAlignment="1">
      <alignment horizontal="center"/>
    </xf>
    <xf numFmtId="0" fontId="12" fillId="0" borderId="5" xfId="2" applyFont="1" applyBorder="1" applyAlignment="1">
      <alignment horizontal="center"/>
    </xf>
    <xf numFmtId="0" fontId="12" fillId="0" borderId="6" xfId="2" applyFont="1" applyBorder="1" applyAlignment="1">
      <alignment horizontal="center"/>
    </xf>
    <xf numFmtId="0" fontId="12" fillId="0" borderId="3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9" xfId="0" applyFont="1" applyBorder="1" applyAlignment="1">
      <alignment horizontal="center" vertical="center" wrapText="1"/>
    </xf>
    <xf numFmtId="0" fontId="53" fillId="2" borderId="15" xfId="2" applyFont="1" applyFill="1" applyBorder="1" applyAlignment="1" applyProtection="1">
      <alignment horizontal="center" vertical="center" wrapText="1"/>
      <protection hidden="1"/>
    </xf>
    <xf numFmtId="0" fontId="12" fillId="2" borderId="15" xfId="2" applyFont="1" applyFill="1" applyBorder="1" applyAlignment="1" applyProtection="1">
      <alignment horizontal="center" vertical="center" wrapText="1"/>
      <protection hidden="1"/>
    </xf>
    <xf numFmtId="0" fontId="58" fillId="0" borderId="22" xfId="2" applyFont="1" applyBorder="1" applyAlignment="1" applyProtection="1">
      <alignment horizontal="center" vertical="center"/>
      <protection hidden="1"/>
    </xf>
    <xf numFmtId="0" fontId="12" fillId="2" borderId="36" xfId="2" applyFont="1" applyFill="1" applyBorder="1" applyAlignment="1" applyProtection="1">
      <alignment horizontal="center" vertical="center" wrapText="1"/>
      <protection hidden="1"/>
    </xf>
    <xf numFmtId="0" fontId="53" fillId="4" borderId="43" xfId="2" applyFont="1" applyFill="1" applyBorder="1" applyAlignment="1" applyProtection="1">
      <alignment horizontal="center" vertical="center" wrapText="1"/>
      <protection hidden="1"/>
    </xf>
    <xf numFmtId="0" fontId="12" fillId="4" borderId="44" xfId="2" applyFont="1" applyFill="1" applyBorder="1" applyAlignment="1" applyProtection="1">
      <alignment horizontal="center" vertical="center" wrapText="1"/>
      <protection hidden="1"/>
    </xf>
    <xf numFmtId="0" fontId="12" fillId="2" borderId="34" xfId="2" applyFont="1" applyFill="1" applyBorder="1" applyAlignment="1" applyProtection="1">
      <alignment horizontal="center" vertical="center" wrapText="1"/>
      <protection hidden="1"/>
    </xf>
    <xf numFmtId="0" fontId="12" fillId="2" borderId="25" xfId="2" applyFont="1" applyFill="1" applyBorder="1" applyAlignment="1" applyProtection="1">
      <alignment horizontal="center" vertical="center" wrapText="1"/>
      <protection hidden="1"/>
    </xf>
    <xf numFmtId="0" fontId="53" fillId="2" borderId="21" xfId="2" applyFont="1" applyFill="1" applyBorder="1" applyAlignment="1" applyProtection="1">
      <alignment horizontal="center" vertical="center" wrapText="1"/>
      <protection hidden="1"/>
    </xf>
    <xf numFmtId="0" fontId="12" fillId="2" borderId="21" xfId="2" applyFont="1" applyFill="1" applyBorder="1" applyAlignment="1" applyProtection="1">
      <alignment horizontal="center" vertical="center" wrapText="1"/>
      <protection hidden="1"/>
    </xf>
    <xf numFmtId="0" fontId="12" fillId="0" borderId="0" xfId="2" applyFont="1" applyBorder="1" applyAlignment="1" applyProtection="1">
      <alignment horizontal="center" vertical="center"/>
      <protection hidden="1"/>
    </xf>
    <xf numFmtId="0" fontId="21" fillId="0" borderId="36" xfId="2" applyFont="1" applyBorder="1" applyAlignment="1" applyProtection="1">
      <alignment horizontal="center" vertical="center"/>
      <protection hidden="1"/>
    </xf>
    <xf numFmtId="0" fontId="21" fillId="0" borderId="37" xfId="2" applyFont="1" applyBorder="1" applyAlignment="1" applyProtection="1">
      <alignment horizontal="center" vertical="center"/>
      <protection hidden="1"/>
    </xf>
    <xf numFmtId="0" fontId="11" fillId="0" borderId="0" xfId="2" applyFont="1" applyAlignment="1" applyProtection="1">
      <alignment horizontal="center" vertical="center" wrapText="1"/>
      <protection hidden="1"/>
    </xf>
    <xf numFmtId="0" fontId="12" fillId="2" borderId="24" xfId="2" applyFont="1" applyFill="1" applyBorder="1" applyAlignment="1" applyProtection="1">
      <alignment horizontal="center" vertical="center" wrapText="1" shrinkToFit="1"/>
      <protection hidden="1"/>
    </xf>
    <xf numFmtId="0" fontId="12" fillId="2" borderId="26" xfId="2" applyFont="1" applyFill="1" applyBorder="1" applyAlignment="1" applyProtection="1">
      <alignment horizontal="center" vertical="center" wrapText="1" shrinkToFit="1"/>
      <protection hidden="1"/>
    </xf>
    <xf numFmtId="0" fontId="12" fillId="2" borderId="37" xfId="2" applyFont="1" applyFill="1" applyBorder="1" applyAlignment="1" applyProtection="1">
      <alignment horizontal="center" vertical="center" wrapText="1"/>
      <protection hidden="1"/>
    </xf>
    <xf numFmtId="0" fontId="17" fillId="0" borderId="50" xfId="2" applyFont="1" applyBorder="1" applyAlignment="1" applyProtection="1">
      <alignment vertical="center"/>
    </xf>
    <xf numFmtId="0" fontId="17" fillId="0" borderId="51" xfId="2" applyFont="1" applyBorder="1" applyAlignment="1" applyProtection="1">
      <alignment vertical="center"/>
    </xf>
    <xf numFmtId="0" fontId="29" fillId="0" borderId="0" xfId="2" applyFont="1" applyBorder="1" applyAlignment="1" applyProtection="1">
      <alignment horizontal="center" wrapText="1"/>
      <protection hidden="1"/>
    </xf>
    <xf numFmtId="0" fontId="29" fillId="0" borderId="8" xfId="2" applyFont="1" applyBorder="1" applyAlignment="1" applyProtection="1">
      <alignment horizontal="center" wrapText="1"/>
      <protection hidden="1"/>
    </xf>
    <xf numFmtId="0" fontId="21" fillId="0" borderId="8" xfId="2" applyFont="1" applyBorder="1" applyAlignment="1" applyProtection="1">
      <alignment horizontal="center"/>
      <protection hidden="1"/>
    </xf>
    <xf numFmtId="0" fontId="12" fillId="2" borderId="27" xfId="2" applyFont="1" applyFill="1" applyBorder="1" applyAlignment="1" applyProtection="1">
      <alignment horizontal="center" vertical="center" wrapText="1"/>
      <protection hidden="1"/>
    </xf>
    <xf numFmtId="0" fontId="50" fillId="0" borderId="0" xfId="3" applyFont="1" applyBorder="1"/>
    <xf numFmtId="0" fontId="49" fillId="0" borderId="0" xfId="3" applyFont="1" applyBorder="1" applyAlignment="1">
      <alignment horizontal="center"/>
    </xf>
    <xf numFmtId="0" fontId="49" fillId="0" borderId="0" xfId="3" applyFont="1" applyBorder="1"/>
    <xf numFmtId="168" fontId="50" fillId="0" borderId="0" xfId="88" applyNumberFormat="1" applyFont="1" applyBorder="1" applyProtection="1"/>
    <xf numFmtId="0" fontId="51" fillId="0" borderId="0" xfId="3" applyFont="1" applyBorder="1"/>
    <xf numFmtId="0" fontId="51" fillId="0" borderId="0" xfId="3" applyFont="1" applyBorder="1" applyAlignment="1">
      <alignment horizontal="center"/>
    </xf>
    <xf numFmtId="0" fontId="51" fillId="0" borderId="0" xfId="3" applyFont="1" applyBorder="1" applyAlignment="1">
      <alignment wrapText="1"/>
    </xf>
    <xf numFmtId="0" fontId="52" fillId="0" borderId="0" xfId="3" applyFont="1" applyBorder="1"/>
    <xf numFmtId="0" fontId="49" fillId="0" borderId="0" xfId="3" applyFont="1" applyBorder="1" applyAlignment="1">
      <alignment horizontal="center"/>
    </xf>
    <xf numFmtId="0" fontId="52" fillId="0" borderId="0" xfId="3" applyFont="1" applyBorder="1" applyAlignment="1">
      <alignment horizontal="center"/>
    </xf>
    <xf numFmtId="0" fontId="50" fillId="0" borderId="0" xfId="3" applyFont="1" applyBorder="1" applyAlignment="1">
      <alignment horizontal="center"/>
    </xf>
  </cellXfs>
  <cellStyles count="115">
    <cellStyle name="20% - Accent1" xfId="24" builtinId="30" customBuiltin="1"/>
    <cellStyle name="20% - Accent1 2" xfId="59" xr:uid="{00000000-0005-0000-0000-000001000000}"/>
    <cellStyle name="20% - Accent1 2 2" xfId="97" xr:uid="{00000000-0005-0000-0000-000002000000}"/>
    <cellStyle name="20% - Accent1 3" xfId="75" xr:uid="{00000000-0005-0000-0000-000003000000}"/>
    <cellStyle name="20% - Accent2" xfId="28" builtinId="34" customBuiltin="1"/>
    <cellStyle name="20% - Accent2 2" xfId="61" xr:uid="{00000000-0005-0000-0000-000005000000}"/>
    <cellStyle name="20% - Accent2 2 2" xfId="99" xr:uid="{00000000-0005-0000-0000-000006000000}"/>
    <cellStyle name="20% - Accent2 3" xfId="77" xr:uid="{00000000-0005-0000-0000-000007000000}"/>
    <cellStyle name="20% - Accent3" xfId="32" builtinId="38" customBuiltin="1"/>
    <cellStyle name="20% - Accent3 2" xfId="63" xr:uid="{00000000-0005-0000-0000-000009000000}"/>
    <cellStyle name="20% - Accent3 2 2" xfId="101" xr:uid="{00000000-0005-0000-0000-00000A000000}"/>
    <cellStyle name="20% - Accent3 3" xfId="79" xr:uid="{00000000-0005-0000-0000-00000B000000}"/>
    <cellStyle name="20% - Accent4" xfId="36" builtinId="42" customBuiltin="1"/>
    <cellStyle name="20% - Accent4 2" xfId="65" xr:uid="{00000000-0005-0000-0000-00000D000000}"/>
    <cellStyle name="20% - Accent4 2 2" xfId="103" xr:uid="{00000000-0005-0000-0000-00000E000000}"/>
    <cellStyle name="20% - Accent4 3" xfId="81" xr:uid="{00000000-0005-0000-0000-00000F000000}"/>
    <cellStyle name="20% - Accent5" xfId="40" builtinId="46" customBuiltin="1"/>
    <cellStyle name="20% - Accent5 2" xfId="67" xr:uid="{00000000-0005-0000-0000-000011000000}"/>
    <cellStyle name="20% - Accent5 2 2" xfId="105" xr:uid="{00000000-0005-0000-0000-000012000000}"/>
    <cellStyle name="20% - Accent5 3" xfId="83" xr:uid="{00000000-0005-0000-0000-000013000000}"/>
    <cellStyle name="20% - Accent6" xfId="44" builtinId="50" customBuiltin="1"/>
    <cellStyle name="20% - Accent6 2" xfId="69" xr:uid="{00000000-0005-0000-0000-000015000000}"/>
    <cellStyle name="20% - Accent6 2 2" xfId="107" xr:uid="{00000000-0005-0000-0000-000016000000}"/>
    <cellStyle name="20% - Accent6 3" xfId="85" xr:uid="{00000000-0005-0000-0000-000017000000}"/>
    <cellStyle name="40% - Accent1" xfId="25" builtinId="31" customBuiltin="1"/>
    <cellStyle name="40% - Accent1 2" xfId="60" xr:uid="{00000000-0005-0000-0000-000019000000}"/>
    <cellStyle name="40% - Accent1 2 2" xfId="98" xr:uid="{00000000-0005-0000-0000-00001A000000}"/>
    <cellStyle name="40% - Accent1 3" xfId="76" xr:uid="{00000000-0005-0000-0000-00001B000000}"/>
    <cellStyle name="40% - Accent2" xfId="29" builtinId="35" customBuiltin="1"/>
    <cellStyle name="40% - Accent2 2" xfId="62" xr:uid="{00000000-0005-0000-0000-00001D000000}"/>
    <cellStyle name="40% - Accent2 2 2" xfId="100" xr:uid="{00000000-0005-0000-0000-00001E000000}"/>
    <cellStyle name="40% - Accent2 3" xfId="78" xr:uid="{00000000-0005-0000-0000-00001F000000}"/>
    <cellStyle name="40% - Accent3" xfId="33" builtinId="39" customBuiltin="1"/>
    <cellStyle name="40% - Accent3 2" xfId="64" xr:uid="{00000000-0005-0000-0000-000021000000}"/>
    <cellStyle name="40% - Accent3 2 2" xfId="102" xr:uid="{00000000-0005-0000-0000-000022000000}"/>
    <cellStyle name="40% - Accent3 3" xfId="80" xr:uid="{00000000-0005-0000-0000-000023000000}"/>
    <cellStyle name="40% - Accent4" xfId="37" builtinId="43" customBuiltin="1"/>
    <cellStyle name="40% - Accent4 2" xfId="66" xr:uid="{00000000-0005-0000-0000-000025000000}"/>
    <cellStyle name="40% - Accent4 2 2" xfId="104" xr:uid="{00000000-0005-0000-0000-000026000000}"/>
    <cellStyle name="40% - Accent4 3" xfId="82" xr:uid="{00000000-0005-0000-0000-000027000000}"/>
    <cellStyle name="40% - Accent5" xfId="41" builtinId="47" customBuiltin="1"/>
    <cellStyle name="40% - Accent5 2" xfId="68" xr:uid="{00000000-0005-0000-0000-000029000000}"/>
    <cellStyle name="40% - Accent5 2 2" xfId="106" xr:uid="{00000000-0005-0000-0000-00002A000000}"/>
    <cellStyle name="40% - Accent5 3" xfId="84" xr:uid="{00000000-0005-0000-0000-00002B000000}"/>
    <cellStyle name="40% - Accent6" xfId="45" builtinId="51" customBuiltin="1"/>
    <cellStyle name="40% - Accent6 2" xfId="70" xr:uid="{00000000-0005-0000-0000-00002D000000}"/>
    <cellStyle name="40% - Accent6 2 2" xfId="108" xr:uid="{00000000-0005-0000-0000-00002E000000}"/>
    <cellStyle name="40% - Accent6 3" xfId="86" xr:uid="{00000000-0005-0000-0000-00002F000000}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omma 2" xfId="50" xr:uid="{00000000-0005-0000-0000-000040000000}"/>
    <cellStyle name="Comma 2 2" xfId="92" xr:uid="{00000000-0005-0000-0000-000041000000}"/>
    <cellStyle name="Comma 3" xfId="51" xr:uid="{00000000-0005-0000-0000-000042000000}"/>
    <cellStyle name="Comma 3 2" xfId="93" xr:uid="{00000000-0005-0000-0000-000043000000}"/>
    <cellStyle name="Currency" xfId="1" builtinId="4"/>
    <cellStyle name="Currency 2" xfId="57" xr:uid="{00000000-0005-0000-0000-000045000000}"/>
    <cellStyle name="Currency 2 2" xfId="95" xr:uid="{00000000-0005-0000-0000-000046000000}"/>
    <cellStyle name="Currency 3" xfId="88" xr:uid="{00000000-0005-0000-0000-000047000000}"/>
    <cellStyle name="Currency 4" xfId="111" xr:uid="{00000000-0005-0000-0000-000048000000}"/>
    <cellStyle name="Explanatory Text" xfId="21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 2" xfId="55" xr:uid="{00000000-0005-0000-0000-00004F000000}"/>
    <cellStyle name="Hyperlink 3" xfId="54" xr:uid="{00000000-0005-0000-0000-000050000000}"/>
    <cellStyle name="Input" xfId="15" builtinId="20" customBuiltin="1"/>
    <cellStyle name="Linked Cell" xfId="18" builtinId="24" customBuiltin="1"/>
    <cellStyle name="Millares 2" xfId="4" xr:uid="{00000000-0005-0000-0000-000053000000}"/>
    <cellStyle name="Moneda 2" xfId="6" xr:uid="{00000000-0005-0000-0000-000054000000}"/>
    <cellStyle name="Neutral" xfId="14" builtinId="28" customBuiltin="1"/>
    <cellStyle name="Normal" xfId="0" builtinId="0"/>
    <cellStyle name="Normal 10" xfId="87" xr:uid="{00000000-0005-0000-0000-000057000000}"/>
    <cellStyle name="Normal 11" xfId="73" xr:uid="{00000000-0005-0000-0000-000058000000}"/>
    <cellStyle name="Normal 12" xfId="112" xr:uid="{00000000-0005-0000-0000-000059000000}"/>
    <cellStyle name="Normal 13" xfId="113" xr:uid="{00000000-0005-0000-0000-00005A000000}"/>
    <cellStyle name="Normal 14" xfId="114" xr:uid="{A2DEA3A3-92F5-45AD-9C08-4F4D80428BC8}"/>
    <cellStyle name="Normal 2" xfId="3" xr:uid="{00000000-0005-0000-0000-00005B000000}"/>
    <cellStyle name="Normal 3" xfId="5" xr:uid="{00000000-0005-0000-0000-00005C000000}"/>
    <cellStyle name="Normal 3 2" xfId="52" xr:uid="{00000000-0005-0000-0000-00005D000000}"/>
    <cellStyle name="Normal 3 3" xfId="89" xr:uid="{00000000-0005-0000-0000-00005E000000}"/>
    <cellStyle name="Normal 4" xfId="53" xr:uid="{00000000-0005-0000-0000-00005F000000}"/>
    <cellStyle name="Normal 5" xfId="49" xr:uid="{00000000-0005-0000-0000-000060000000}"/>
    <cellStyle name="Normal 6" xfId="47" xr:uid="{00000000-0005-0000-0000-000061000000}"/>
    <cellStyle name="Normal 6 2" xfId="90" xr:uid="{00000000-0005-0000-0000-000062000000}"/>
    <cellStyle name="Normal 7" xfId="56" xr:uid="{00000000-0005-0000-0000-000063000000}"/>
    <cellStyle name="Normal 7 2" xfId="94" xr:uid="{00000000-0005-0000-0000-000064000000}"/>
    <cellStyle name="Normal 8" xfId="71" xr:uid="{00000000-0005-0000-0000-000065000000}"/>
    <cellStyle name="Normal 8 2" xfId="109" xr:uid="{00000000-0005-0000-0000-000066000000}"/>
    <cellStyle name="Normal 9" xfId="72" xr:uid="{00000000-0005-0000-0000-000067000000}"/>
    <cellStyle name="Normal 9 2" xfId="110" xr:uid="{00000000-0005-0000-0000-000068000000}"/>
    <cellStyle name="Normal_Consolidado Bonos VPE-Oct 09 (rev Greisy)" xfId="2" xr:uid="{00000000-0005-0000-0000-000069000000}"/>
    <cellStyle name="Note 2" xfId="48" xr:uid="{00000000-0005-0000-0000-00006A000000}"/>
    <cellStyle name="Note 2 2" xfId="91" xr:uid="{00000000-0005-0000-0000-00006B000000}"/>
    <cellStyle name="Note 3" xfId="58" xr:uid="{00000000-0005-0000-0000-00006C000000}"/>
    <cellStyle name="Note 3 2" xfId="96" xr:uid="{00000000-0005-0000-0000-00006D000000}"/>
    <cellStyle name="Note 4" xfId="74" xr:uid="{00000000-0005-0000-0000-00006E000000}"/>
    <cellStyle name="Output" xfId="16" builtinId="21" customBuiltin="1"/>
    <cellStyle name="Title" xfId="7" builtinId="15" customBuiltin="1"/>
    <cellStyle name="Total" xfId="22" builtinId="25" customBuiltin="1"/>
    <cellStyle name="Warning Text" xfId="20" builtinId="11" customBuiltin="1"/>
  </cellStyles>
  <dxfs count="22">
    <dxf>
      <font>
        <color theme="3"/>
      </font>
      <fill>
        <patternFill>
          <bgColor theme="3" tint="0.59996337778862885"/>
        </patternFill>
      </fill>
    </dxf>
    <dxf>
      <font>
        <color theme="3"/>
      </font>
      <fill>
        <patternFill>
          <bgColor theme="3" tint="0.59996337778862885"/>
        </patternFill>
      </fill>
    </dxf>
    <dxf>
      <font>
        <color theme="3"/>
      </font>
      <fill>
        <patternFill>
          <bgColor theme="3" tint="0.59996337778862885"/>
        </patternFill>
      </fill>
    </dxf>
    <dxf>
      <font>
        <color theme="3"/>
      </font>
      <fill>
        <patternFill>
          <bgColor theme="3" tint="0.59996337778862885"/>
        </patternFill>
      </fill>
    </dxf>
    <dxf>
      <font>
        <color theme="3"/>
      </font>
      <fill>
        <patternFill>
          <bgColor theme="3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color theme="3"/>
      </font>
      <fill>
        <patternFill>
          <bgColor theme="3" tint="0.59996337778862885"/>
        </patternFill>
      </fill>
    </dxf>
    <dxf>
      <font>
        <color theme="3"/>
      </font>
      <fill>
        <patternFill>
          <bgColor theme="3" tint="0.59996337778862885"/>
        </patternFill>
      </fill>
    </dxf>
    <dxf>
      <font>
        <color theme="3"/>
      </font>
      <fill>
        <patternFill>
          <bgColor theme="3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color theme="3"/>
      </font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73</xdr:col>
      <xdr:colOff>12700</xdr:colOff>
      <xdr:row>7</xdr:row>
      <xdr:rowOff>0</xdr:rowOff>
    </xdr:from>
    <xdr:to>
      <xdr:col>74</xdr:col>
      <xdr:colOff>266700</xdr:colOff>
      <xdr:row>7</xdr:row>
      <xdr:rowOff>235656</xdr:rowOff>
    </xdr:to>
    <xdr:sp macro="" textlink="">
      <xdr:nvSpPr>
        <xdr:cNvPr id="8279" name="CodigoSAP" hidden="1">
          <a:extLst>
            <a:ext uri="{63B3BB69-23CF-44E3-9099-C40C66FF867C}">
              <a14:compatExt xmlns:a14="http://schemas.microsoft.com/office/drawing/2010/main" spid="_x0000_s8279"/>
            </a:ext>
            <a:ext uri="{FF2B5EF4-FFF2-40B4-BE49-F238E27FC236}">
              <a16:creationId xmlns:a16="http://schemas.microsoft.com/office/drawing/2014/main" id="{00000000-0008-0000-0400-0000572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73</xdr:col>
      <xdr:colOff>9525</xdr:colOff>
      <xdr:row>7</xdr:row>
      <xdr:rowOff>0</xdr:rowOff>
    </xdr:from>
    <xdr:to>
      <xdr:col>74</xdr:col>
      <xdr:colOff>200025</xdr:colOff>
      <xdr:row>7</xdr:row>
      <xdr:rowOff>235656</xdr:rowOff>
    </xdr:to>
    <xdr:pic>
      <xdr:nvPicPr>
        <xdr:cNvPr id="2" name="CodigoSAP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645550" y="1457325"/>
          <a:ext cx="952500" cy="276225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17961" dir="2700000" algn="ctr" rotWithShape="0">
                  <a:srgbClr val="80808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66</xdr:col>
          <xdr:colOff>390525</xdr:colOff>
          <xdr:row>6</xdr:row>
          <xdr:rowOff>219075</xdr:rowOff>
        </xdr:from>
        <xdr:to>
          <xdr:col>68</xdr:col>
          <xdr:colOff>466725</xdr:colOff>
          <xdr:row>7</xdr:row>
          <xdr:rowOff>219075</xdr:rowOff>
        </xdr:to>
        <xdr:sp macro="" textlink="">
          <xdr:nvSpPr>
            <xdr:cNvPr id="8249" name="Button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4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Ocultar hojas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13608</xdr:colOff>
      <xdr:row>32</xdr:row>
      <xdr:rowOff>129987</xdr:rowOff>
    </xdr:from>
    <xdr:to>
      <xdr:col>8</xdr:col>
      <xdr:colOff>1594837</xdr:colOff>
      <xdr:row>33</xdr:row>
      <xdr:rowOff>941294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 bwMode="auto">
        <a:xfrm>
          <a:off x="10790465" y="7654737"/>
          <a:ext cx="1581229" cy="947378"/>
        </a:xfrm>
        <a:prstGeom prst="rect">
          <a:avLst/>
        </a:prstGeom>
        <a:solidFill>
          <a:sysClr val="window" lastClr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s-CO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.halliburton.com\la\Users\h204113\Desktop\Juliana%20Martinez\2018-BONOS%20DE%20CAMPO\2018%20Enero\Users\salageneral\AppData\Local\Microsoft\Windows\Temporary%20Internet%20Files\Content.IE5\MN7JHOQC\FORMATO%20PE-BC%20MARZ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.halliburton.com\la\Users\h204113\Desktop\Juliana%20Martinez\2018-BONOS%20DE%20CAMPO\2018%20Enero\APConcil\3-Marzo\SAPMARZ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.halliburton.com\la\Users\h204113\Desktop\Juliana%20Martinez\2018-BONOS%20DE%20CAMPO\2018%20Enero\Users\carolina\Downloads\FORMATO%20PM%20MARZ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.halliburton.com\la\Users\h204113\Desktop\Juliana%20Martinez\2018-BONOS%20DE%20CAMPO\2018%20Enero\Documents%20and%20Settings\hb38897\Local%20Settings\Temporary%20Internet%20Files\OLK321\Formato%20Bonosv4.0%20FOCOLHALHR038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.halliburton.com\la\Users\h204113\Desktop\Juliana%20Martinez\2018-BONOS%20DE%20CAMPO\2018%20Enero\Users\carolina\Downloads\FORMATO%20CMT%20MARZ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us Policy PE &amp; B&amp;C"/>
      <sheetName val="Listas"/>
      <sheetName val="SAP"/>
      <sheetName val="Instrucciones"/>
      <sheetName val="COP"/>
    </sheetNames>
    <sheetDataSet>
      <sheetData sheetId="0" refreshError="1"/>
      <sheetData sheetId="1">
        <row r="2">
          <cell r="A2" t="str">
            <v>Barranca</v>
          </cell>
          <cell r="D2" t="str">
            <v>Alange</v>
          </cell>
          <cell r="F2" t="str">
            <v>Enero de 2014</v>
          </cell>
        </row>
        <row r="3">
          <cell r="A3" t="str">
            <v>Bogotá</v>
          </cell>
          <cell r="D3" t="str">
            <v>BP</v>
          </cell>
          <cell r="F3" t="str">
            <v>Febrero de 2014</v>
          </cell>
        </row>
        <row r="4">
          <cell r="A4" t="str">
            <v>Cota</v>
          </cell>
          <cell r="D4" t="str">
            <v>C&amp;C Energía</v>
          </cell>
          <cell r="F4" t="str">
            <v>Marzo de 2014</v>
          </cell>
        </row>
        <row r="5">
          <cell r="A5" t="str">
            <v>Funza</v>
          </cell>
          <cell r="D5" t="str">
            <v>Cepcolsa</v>
          </cell>
          <cell r="F5" t="str">
            <v>Abril de 2014</v>
          </cell>
        </row>
        <row r="6">
          <cell r="A6" t="str">
            <v>Neiva</v>
          </cell>
          <cell r="D6" t="str">
            <v>CEPSA</v>
          </cell>
          <cell r="F6" t="str">
            <v>Mayo de 2014</v>
          </cell>
        </row>
        <row r="7">
          <cell r="A7" t="str">
            <v>Villavicencio</v>
          </cell>
          <cell r="D7" t="str">
            <v>CHEVRON</v>
          </cell>
          <cell r="F7" t="str">
            <v>Junio de 2014</v>
          </cell>
        </row>
        <row r="8">
          <cell r="A8" t="str">
            <v>Yopal</v>
          </cell>
          <cell r="D8" t="str">
            <v>Columbus Energy</v>
          </cell>
          <cell r="F8" t="str">
            <v>Julio de 2014</v>
          </cell>
        </row>
        <row r="9">
          <cell r="D9" t="str">
            <v>Conequipos</v>
          </cell>
          <cell r="F9" t="str">
            <v>Agosto de 2014</v>
          </cell>
        </row>
        <row r="10">
          <cell r="D10" t="str">
            <v>Consorcio Colombia Energy</v>
          </cell>
          <cell r="F10" t="str">
            <v>Septiembre de 2014</v>
          </cell>
        </row>
        <row r="11">
          <cell r="D11" t="str">
            <v>Drummond</v>
          </cell>
          <cell r="F11" t="str">
            <v>Octubre de 2014</v>
          </cell>
        </row>
        <row r="12">
          <cell r="D12" t="str">
            <v>Ecopetrol</v>
          </cell>
          <cell r="F12" t="str">
            <v>Noviembre de 2014</v>
          </cell>
        </row>
        <row r="13">
          <cell r="D13" t="str">
            <v>El triunfo</v>
          </cell>
          <cell r="F13" t="str">
            <v>Diciembre de 2014</v>
          </cell>
        </row>
        <row r="14">
          <cell r="D14" t="str">
            <v>Emerald Energy</v>
          </cell>
        </row>
        <row r="15">
          <cell r="D15" t="str">
            <v>Equion (BP)</v>
          </cell>
        </row>
        <row r="16">
          <cell r="D16" t="str">
            <v>Erazo Valencia</v>
          </cell>
        </row>
        <row r="17">
          <cell r="D17" t="str">
            <v>Exxon</v>
          </cell>
        </row>
        <row r="18">
          <cell r="D18" t="str">
            <v>Geoproduction</v>
          </cell>
        </row>
        <row r="19">
          <cell r="D19" t="str">
            <v>Grantierra Energy</v>
          </cell>
        </row>
        <row r="20">
          <cell r="D20" t="str">
            <v>Great North Energy</v>
          </cell>
        </row>
        <row r="21">
          <cell r="D21" t="str">
            <v>Grupo Manuelita</v>
          </cell>
        </row>
        <row r="22">
          <cell r="D22" t="str">
            <v>Halliburton</v>
          </cell>
        </row>
        <row r="23">
          <cell r="D23" t="str">
            <v>Hocol Boyacá</v>
          </cell>
        </row>
        <row r="24">
          <cell r="D24" t="str">
            <v>Hocol Casanare Vichada</v>
          </cell>
        </row>
        <row r="25">
          <cell r="D25" t="str">
            <v>Hocol Huila</v>
          </cell>
        </row>
        <row r="26">
          <cell r="D26" t="str">
            <v>Hocol Meta</v>
          </cell>
        </row>
        <row r="27">
          <cell r="D27" t="str">
            <v>Hocol Piedemonte (casanare)</v>
          </cell>
        </row>
        <row r="28">
          <cell r="D28" t="str">
            <v>Hocol Sucre Magdalena</v>
          </cell>
        </row>
        <row r="29">
          <cell r="D29" t="str">
            <v>Hocol Tolima</v>
          </cell>
        </row>
        <row r="30">
          <cell r="D30" t="str">
            <v>HUPECOL</v>
          </cell>
        </row>
        <row r="31">
          <cell r="D31" t="str">
            <v>Interoil</v>
          </cell>
        </row>
        <row r="32">
          <cell r="D32" t="str">
            <v>ISLEMA</v>
          </cell>
        </row>
        <row r="33">
          <cell r="D33" t="str">
            <v>Kappa Resources</v>
          </cell>
        </row>
        <row r="34">
          <cell r="D34" t="str">
            <v>Lukoil Overseas</v>
          </cell>
        </row>
        <row r="35">
          <cell r="D35" t="str">
            <v>Mansarovar</v>
          </cell>
        </row>
        <row r="36">
          <cell r="D36" t="str">
            <v>Metapetroleum</v>
          </cell>
        </row>
        <row r="37">
          <cell r="D37" t="str">
            <v>Montecz</v>
          </cell>
        </row>
        <row r="38">
          <cell r="D38" t="str">
            <v>New Granada Energy</v>
          </cell>
        </row>
        <row r="39">
          <cell r="D39" t="str">
            <v>Occidental de Colombia</v>
          </cell>
        </row>
        <row r="40">
          <cell r="D40" t="str">
            <v>OMEGA ENERGY</v>
          </cell>
        </row>
        <row r="41">
          <cell r="D41" t="str">
            <v>Oxyandina</v>
          </cell>
        </row>
        <row r="42">
          <cell r="D42" t="str">
            <v>Pacific Stratus Energy</v>
          </cell>
        </row>
        <row r="43">
          <cell r="D43" t="str">
            <v>Parex Resources Ltda</v>
          </cell>
        </row>
        <row r="44">
          <cell r="D44" t="str">
            <v>Perenco</v>
          </cell>
        </row>
        <row r="45">
          <cell r="D45" t="str">
            <v>Petro Colombia</v>
          </cell>
        </row>
        <row r="46">
          <cell r="D46" t="str">
            <v>Petrobras Centro (Tolima)</v>
          </cell>
        </row>
        <row r="47">
          <cell r="D47" t="str">
            <v>Petrobras Norte (Casanare)</v>
          </cell>
        </row>
        <row r="48">
          <cell r="D48" t="str">
            <v>Petrobras Sur (Huila)</v>
          </cell>
        </row>
        <row r="49">
          <cell r="D49" t="str">
            <v>Petrobras TIBU</v>
          </cell>
        </row>
        <row r="50">
          <cell r="D50" t="str">
            <v>Petrocolombia (Santander)</v>
          </cell>
        </row>
        <row r="51">
          <cell r="D51" t="str">
            <v>Petroleos del Norte</v>
          </cell>
        </row>
        <row r="52">
          <cell r="D52" t="str">
            <v>Petrominerales Huila</v>
          </cell>
        </row>
        <row r="53">
          <cell r="D53" t="str">
            <v>Petrominerales Putumayo</v>
          </cell>
        </row>
        <row r="54">
          <cell r="D54" t="str">
            <v>Petrotesting</v>
          </cell>
        </row>
        <row r="55">
          <cell r="D55" t="str">
            <v>Platino</v>
          </cell>
        </row>
        <row r="56">
          <cell r="D56" t="str">
            <v>Precisión</v>
          </cell>
        </row>
        <row r="57">
          <cell r="D57" t="str">
            <v>Ramshorn</v>
          </cell>
        </row>
        <row r="58">
          <cell r="D58" t="str">
            <v>Rancho Hermoso</v>
          </cell>
        </row>
        <row r="59">
          <cell r="D59" t="str">
            <v>Repsol</v>
          </cell>
        </row>
        <row r="60">
          <cell r="D60" t="str">
            <v>SOGOMI Energy</v>
          </cell>
        </row>
        <row r="61">
          <cell r="D61" t="str">
            <v>SOLANA</v>
          </cell>
        </row>
        <row r="62">
          <cell r="D62" t="str">
            <v>Tabasco Oil Company</v>
          </cell>
        </row>
        <row r="63">
          <cell r="D63" t="str">
            <v>TECPECOL</v>
          </cell>
        </row>
        <row r="64">
          <cell r="D64" t="str">
            <v>Turkish Petroleum</v>
          </cell>
        </row>
        <row r="65">
          <cell r="D65" t="str">
            <v>Union Temporal Andina</v>
          </cell>
        </row>
        <row r="66">
          <cell r="D66" t="str">
            <v>Union Temporal IJP</v>
          </cell>
        </row>
        <row r="67">
          <cell r="D67" t="str">
            <v>Union Temporal Midas</v>
          </cell>
        </row>
        <row r="68">
          <cell r="D68" t="str">
            <v>Union Temporal Moriche</v>
          </cell>
        </row>
        <row r="69">
          <cell r="D69" t="str">
            <v>Union Temporal Petrocaribe</v>
          </cell>
        </row>
        <row r="70">
          <cell r="D70" t="str">
            <v>Varosa Energy</v>
          </cell>
        </row>
        <row r="71">
          <cell r="D71" t="str">
            <v>Weatherford</v>
          </cell>
        </row>
        <row r="72">
          <cell r="D72" t="str">
            <v>Well Logging S.A.</v>
          </cell>
        </row>
        <row r="73">
          <cell r="D73" t="str">
            <v>Winchester Oil and Gas</v>
          </cell>
        </row>
      </sheetData>
      <sheetData sheetId="2">
        <row r="2">
          <cell r="A2">
            <v>114180</v>
          </cell>
        </row>
        <row r="3">
          <cell r="A3">
            <v>114192</v>
          </cell>
        </row>
        <row r="4">
          <cell r="A4">
            <v>114195</v>
          </cell>
        </row>
        <row r="5">
          <cell r="A5">
            <v>114197</v>
          </cell>
        </row>
        <row r="6">
          <cell r="A6">
            <v>114218</v>
          </cell>
        </row>
        <row r="7">
          <cell r="A7">
            <v>114232</v>
          </cell>
        </row>
        <row r="8">
          <cell r="A8">
            <v>114236</v>
          </cell>
        </row>
        <row r="9">
          <cell r="A9">
            <v>114274</v>
          </cell>
        </row>
        <row r="10">
          <cell r="A10">
            <v>114286</v>
          </cell>
        </row>
        <row r="11">
          <cell r="A11">
            <v>114290</v>
          </cell>
        </row>
        <row r="12">
          <cell r="A12">
            <v>114313</v>
          </cell>
        </row>
        <row r="13">
          <cell r="A13">
            <v>114335</v>
          </cell>
        </row>
        <row r="14">
          <cell r="A14">
            <v>114379</v>
          </cell>
        </row>
        <row r="15">
          <cell r="A15">
            <v>114390</v>
          </cell>
        </row>
        <row r="16">
          <cell r="A16">
            <v>114399</v>
          </cell>
        </row>
        <row r="17">
          <cell r="A17">
            <v>123325</v>
          </cell>
        </row>
        <row r="18">
          <cell r="A18">
            <v>202205</v>
          </cell>
        </row>
        <row r="19">
          <cell r="A19">
            <v>211037</v>
          </cell>
        </row>
        <row r="20">
          <cell r="A20">
            <v>211104</v>
          </cell>
        </row>
        <row r="21">
          <cell r="A21">
            <v>243002</v>
          </cell>
        </row>
        <row r="22">
          <cell r="A22">
            <v>276469</v>
          </cell>
        </row>
        <row r="23">
          <cell r="A23">
            <v>368948</v>
          </cell>
        </row>
        <row r="24">
          <cell r="A24">
            <v>404178</v>
          </cell>
        </row>
        <row r="25">
          <cell r="A25">
            <v>409048</v>
          </cell>
        </row>
        <row r="26">
          <cell r="A26">
            <v>413250</v>
          </cell>
        </row>
        <row r="27">
          <cell r="A27">
            <v>417770</v>
          </cell>
        </row>
        <row r="28">
          <cell r="A28">
            <v>418770</v>
          </cell>
        </row>
        <row r="29">
          <cell r="A29">
            <v>419673</v>
          </cell>
        </row>
        <row r="30">
          <cell r="A30">
            <v>426015</v>
          </cell>
        </row>
        <row r="31">
          <cell r="A31">
            <v>435428</v>
          </cell>
        </row>
        <row r="32">
          <cell r="A32">
            <v>435433</v>
          </cell>
        </row>
        <row r="33">
          <cell r="A33">
            <v>441567</v>
          </cell>
        </row>
        <row r="34">
          <cell r="A34">
            <v>447148</v>
          </cell>
        </row>
        <row r="35">
          <cell r="A35">
            <v>447523</v>
          </cell>
        </row>
        <row r="36">
          <cell r="A36">
            <v>448783</v>
          </cell>
        </row>
        <row r="37">
          <cell r="A37">
            <v>450059</v>
          </cell>
        </row>
        <row r="38">
          <cell r="A38">
            <v>452151</v>
          </cell>
        </row>
        <row r="39">
          <cell r="A39">
            <v>452459</v>
          </cell>
        </row>
        <row r="40">
          <cell r="A40">
            <v>455135</v>
          </cell>
        </row>
        <row r="41">
          <cell r="A41">
            <v>456070</v>
          </cell>
        </row>
        <row r="42">
          <cell r="A42">
            <v>457297</v>
          </cell>
        </row>
        <row r="43">
          <cell r="A43">
            <v>457682</v>
          </cell>
        </row>
        <row r="44">
          <cell r="A44">
            <v>462754</v>
          </cell>
        </row>
        <row r="45">
          <cell r="A45">
            <v>464322</v>
          </cell>
        </row>
        <row r="46">
          <cell r="A46">
            <v>468204</v>
          </cell>
        </row>
        <row r="47">
          <cell r="A47">
            <v>468206</v>
          </cell>
        </row>
        <row r="48">
          <cell r="A48">
            <v>468208</v>
          </cell>
        </row>
        <row r="49">
          <cell r="A49">
            <v>468277</v>
          </cell>
        </row>
        <row r="50">
          <cell r="A50">
            <v>468745</v>
          </cell>
        </row>
        <row r="51">
          <cell r="A51">
            <v>468753</v>
          </cell>
        </row>
        <row r="52">
          <cell r="A52">
            <v>468843</v>
          </cell>
        </row>
        <row r="53">
          <cell r="A53">
            <v>469433</v>
          </cell>
        </row>
        <row r="54">
          <cell r="A54">
            <v>470381</v>
          </cell>
        </row>
        <row r="55">
          <cell r="A55">
            <v>473022</v>
          </cell>
        </row>
        <row r="56">
          <cell r="A56">
            <v>473046</v>
          </cell>
        </row>
        <row r="57">
          <cell r="A57">
            <v>476023</v>
          </cell>
        </row>
        <row r="58">
          <cell r="A58">
            <v>476056</v>
          </cell>
        </row>
        <row r="59">
          <cell r="A59">
            <v>476069</v>
          </cell>
        </row>
        <row r="60">
          <cell r="A60">
            <v>476169</v>
          </cell>
        </row>
        <row r="61">
          <cell r="A61">
            <v>476229</v>
          </cell>
        </row>
        <row r="62">
          <cell r="A62">
            <v>476254</v>
          </cell>
        </row>
        <row r="63">
          <cell r="A63">
            <v>476521</v>
          </cell>
        </row>
        <row r="64">
          <cell r="A64">
            <v>477473</v>
          </cell>
        </row>
        <row r="65">
          <cell r="A65">
            <v>477474</v>
          </cell>
        </row>
        <row r="66">
          <cell r="A66">
            <v>477653</v>
          </cell>
        </row>
        <row r="67">
          <cell r="A67">
            <v>477654</v>
          </cell>
        </row>
        <row r="68">
          <cell r="A68">
            <v>477655</v>
          </cell>
        </row>
        <row r="69">
          <cell r="A69">
            <v>477656</v>
          </cell>
        </row>
        <row r="70">
          <cell r="A70">
            <v>477762</v>
          </cell>
        </row>
        <row r="71">
          <cell r="A71">
            <v>477764</v>
          </cell>
        </row>
        <row r="72">
          <cell r="A72">
            <v>477823</v>
          </cell>
        </row>
        <row r="73">
          <cell r="A73">
            <v>477831</v>
          </cell>
        </row>
        <row r="74">
          <cell r="A74">
            <v>477874</v>
          </cell>
        </row>
        <row r="75">
          <cell r="A75">
            <v>478192</v>
          </cell>
        </row>
        <row r="76">
          <cell r="A76">
            <v>482969</v>
          </cell>
        </row>
        <row r="77">
          <cell r="A77">
            <v>482982</v>
          </cell>
        </row>
        <row r="78">
          <cell r="A78">
            <v>485556</v>
          </cell>
        </row>
        <row r="79">
          <cell r="A79">
            <v>485579</v>
          </cell>
        </row>
        <row r="80">
          <cell r="A80">
            <v>488104</v>
          </cell>
        </row>
        <row r="81">
          <cell r="A81">
            <v>488108</v>
          </cell>
        </row>
        <row r="82">
          <cell r="A82">
            <v>488160</v>
          </cell>
        </row>
        <row r="83">
          <cell r="A83">
            <v>488210</v>
          </cell>
        </row>
        <row r="84">
          <cell r="A84">
            <v>488255</v>
          </cell>
        </row>
        <row r="85">
          <cell r="A85">
            <v>490889</v>
          </cell>
        </row>
        <row r="86">
          <cell r="A86">
            <v>490947</v>
          </cell>
        </row>
        <row r="87">
          <cell r="A87">
            <v>493139</v>
          </cell>
        </row>
        <row r="88">
          <cell r="A88">
            <v>496999</v>
          </cell>
        </row>
        <row r="89">
          <cell r="A89">
            <v>497035</v>
          </cell>
        </row>
        <row r="90">
          <cell r="A90">
            <v>500642</v>
          </cell>
        </row>
        <row r="91">
          <cell r="A91">
            <v>502598</v>
          </cell>
        </row>
        <row r="92">
          <cell r="A92">
            <v>502600</v>
          </cell>
        </row>
        <row r="93">
          <cell r="A93">
            <v>502604</v>
          </cell>
        </row>
        <row r="94">
          <cell r="A94">
            <v>502607</v>
          </cell>
        </row>
        <row r="95">
          <cell r="A95">
            <v>502608</v>
          </cell>
        </row>
        <row r="96">
          <cell r="A96">
            <v>508097</v>
          </cell>
        </row>
        <row r="97">
          <cell r="A97">
            <v>508171</v>
          </cell>
        </row>
        <row r="98">
          <cell r="A98">
            <v>508225</v>
          </cell>
        </row>
        <row r="99">
          <cell r="A99">
            <v>508246</v>
          </cell>
        </row>
        <row r="100">
          <cell r="A100">
            <v>509487</v>
          </cell>
        </row>
        <row r="101">
          <cell r="A101">
            <v>510035</v>
          </cell>
        </row>
        <row r="102">
          <cell r="A102">
            <v>510037</v>
          </cell>
        </row>
        <row r="103">
          <cell r="A103">
            <v>510448</v>
          </cell>
        </row>
        <row r="104">
          <cell r="A104">
            <v>517028</v>
          </cell>
        </row>
        <row r="105">
          <cell r="A105">
            <v>517033</v>
          </cell>
        </row>
        <row r="106">
          <cell r="A106">
            <v>517034</v>
          </cell>
        </row>
        <row r="107">
          <cell r="A107">
            <v>517255</v>
          </cell>
        </row>
        <row r="108">
          <cell r="A108">
            <v>517444</v>
          </cell>
        </row>
        <row r="109">
          <cell r="A109">
            <v>517467</v>
          </cell>
        </row>
        <row r="110">
          <cell r="A110">
            <v>517492</v>
          </cell>
        </row>
        <row r="111">
          <cell r="A111">
            <v>517500</v>
          </cell>
        </row>
        <row r="112">
          <cell r="A112">
            <v>520143</v>
          </cell>
        </row>
        <row r="113">
          <cell r="A113">
            <v>520900</v>
          </cell>
        </row>
        <row r="114">
          <cell r="A114">
            <v>522037</v>
          </cell>
        </row>
        <row r="115">
          <cell r="A115">
            <v>522075</v>
          </cell>
        </row>
        <row r="116">
          <cell r="A116">
            <v>522936</v>
          </cell>
        </row>
        <row r="117">
          <cell r="A117">
            <v>524569</v>
          </cell>
        </row>
        <row r="118">
          <cell r="A118">
            <v>524597</v>
          </cell>
        </row>
        <row r="119">
          <cell r="A119">
            <v>524607</v>
          </cell>
        </row>
        <row r="120">
          <cell r="A120">
            <v>524629</v>
          </cell>
        </row>
        <row r="121">
          <cell r="A121">
            <v>524721</v>
          </cell>
        </row>
        <row r="122">
          <cell r="A122">
            <v>524724</v>
          </cell>
        </row>
        <row r="123">
          <cell r="A123">
            <v>524725</v>
          </cell>
        </row>
        <row r="124">
          <cell r="A124">
            <v>524738</v>
          </cell>
        </row>
        <row r="125">
          <cell r="A125">
            <v>524742</v>
          </cell>
        </row>
        <row r="126">
          <cell r="A126">
            <v>524745</v>
          </cell>
        </row>
        <row r="127">
          <cell r="A127">
            <v>524926</v>
          </cell>
        </row>
        <row r="128">
          <cell r="A128">
            <v>526813</v>
          </cell>
        </row>
        <row r="129">
          <cell r="A129">
            <v>526820</v>
          </cell>
        </row>
        <row r="130">
          <cell r="A130">
            <v>526980</v>
          </cell>
        </row>
        <row r="131">
          <cell r="A131">
            <v>527123</v>
          </cell>
        </row>
        <row r="132">
          <cell r="A132">
            <v>527136</v>
          </cell>
        </row>
        <row r="133">
          <cell r="A133">
            <v>528364</v>
          </cell>
        </row>
        <row r="134">
          <cell r="A134">
            <v>529328</v>
          </cell>
        </row>
        <row r="135">
          <cell r="A135">
            <v>529330</v>
          </cell>
        </row>
        <row r="136">
          <cell r="A136">
            <v>529361</v>
          </cell>
        </row>
        <row r="137">
          <cell r="A137">
            <v>529367</v>
          </cell>
        </row>
        <row r="138">
          <cell r="A138">
            <v>529430</v>
          </cell>
        </row>
        <row r="139">
          <cell r="A139">
            <v>529832</v>
          </cell>
        </row>
        <row r="140">
          <cell r="A140">
            <v>529879</v>
          </cell>
        </row>
        <row r="141">
          <cell r="A141">
            <v>530181</v>
          </cell>
        </row>
        <row r="142">
          <cell r="A142">
            <v>534636</v>
          </cell>
        </row>
        <row r="143">
          <cell r="A143">
            <v>535433</v>
          </cell>
        </row>
        <row r="144">
          <cell r="A144">
            <v>535490</v>
          </cell>
        </row>
        <row r="145">
          <cell r="A145">
            <v>535491</v>
          </cell>
        </row>
        <row r="146">
          <cell r="A146">
            <v>540699</v>
          </cell>
        </row>
        <row r="147">
          <cell r="A147">
            <v>543819</v>
          </cell>
        </row>
        <row r="148">
          <cell r="A148">
            <v>543827</v>
          </cell>
        </row>
        <row r="149">
          <cell r="A149">
            <v>543831</v>
          </cell>
        </row>
        <row r="150">
          <cell r="A150">
            <v>543833</v>
          </cell>
        </row>
        <row r="151">
          <cell r="A151">
            <v>543896</v>
          </cell>
        </row>
        <row r="152">
          <cell r="A152">
            <v>543899</v>
          </cell>
        </row>
        <row r="153">
          <cell r="A153">
            <v>543907</v>
          </cell>
        </row>
        <row r="154">
          <cell r="A154">
            <v>543909</v>
          </cell>
        </row>
        <row r="155">
          <cell r="A155">
            <v>543946</v>
          </cell>
        </row>
        <row r="156">
          <cell r="A156">
            <v>543962</v>
          </cell>
        </row>
        <row r="157">
          <cell r="A157">
            <v>544876</v>
          </cell>
        </row>
        <row r="158">
          <cell r="A158">
            <v>544957</v>
          </cell>
        </row>
        <row r="159">
          <cell r="A159">
            <v>544958</v>
          </cell>
        </row>
        <row r="160">
          <cell r="A160">
            <v>545138</v>
          </cell>
        </row>
        <row r="161">
          <cell r="A161">
            <v>545334</v>
          </cell>
        </row>
        <row r="162">
          <cell r="A162">
            <v>545349</v>
          </cell>
        </row>
        <row r="163">
          <cell r="A163">
            <v>546148</v>
          </cell>
        </row>
        <row r="164">
          <cell r="A164">
            <v>546155</v>
          </cell>
        </row>
        <row r="165">
          <cell r="A165">
            <v>546312</v>
          </cell>
        </row>
        <row r="166">
          <cell r="A166">
            <v>546433</v>
          </cell>
        </row>
        <row r="167">
          <cell r="A167">
            <v>547473</v>
          </cell>
        </row>
        <row r="168">
          <cell r="A168">
            <v>547915</v>
          </cell>
        </row>
        <row r="169">
          <cell r="A169">
            <v>547921</v>
          </cell>
        </row>
        <row r="170">
          <cell r="A170">
            <v>552873</v>
          </cell>
        </row>
        <row r="171">
          <cell r="A171">
            <v>552884</v>
          </cell>
        </row>
        <row r="172">
          <cell r="A172">
            <v>552888</v>
          </cell>
        </row>
        <row r="173">
          <cell r="A173">
            <v>555564</v>
          </cell>
        </row>
        <row r="174">
          <cell r="A174">
            <v>555632</v>
          </cell>
        </row>
        <row r="175">
          <cell r="A175">
            <v>555867</v>
          </cell>
        </row>
        <row r="176">
          <cell r="A176">
            <v>557869</v>
          </cell>
        </row>
        <row r="177">
          <cell r="A177">
            <v>557923</v>
          </cell>
        </row>
        <row r="178">
          <cell r="A178">
            <v>558074</v>
          </cell>
        </row>
      </sheetData>
      <sheetData sheetId="3" refreshError="1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PMARZO"/>
      <sheetName val="Sheet1"/>
      <sheetName val="Sheet2"/>
      <sheetName val="Ultimo"/>
    </sheetNames>
    <sheetDataSet>
      <sheetData sheetId="0"/>
      <sheetData sheetId="1"/>
      <sheetData sheetId="2">
        <row r="2">
          <cell r="A2">
            <v>1037608</v>
          </cell>
          <cell r="B2" t="str">
            <v>ACOSTA JOSE VICENTE-DECORARTE</v>
          </cell>
          <cell r="D2">
            <v>17172730</v>
          </cell>
        </row>
        <row r="3">
          <cell r="A3">
            <v>1037619</v>
          </cell>
          <cell r="B3" t="str">
            <v>ADMINISTRACION DE IMPUESTOS</v>
          </cell>
          <cell r="D3">
            <v>899999090</v>
          </cell>
        </row>
        <row r="4">
          <cell r="A4">
            <v>1037626</v>
          </cell>
          <cell r="B4" t="str">
            <v>AIRES SA AEROVIAS DE INTEGRACI</v>
          </cell>
          <cell r="D4">
            <v>890704196</v>
          </cell>
        </row>
        <row r="5">
          <cell r="A5">
            <v>1037627</v>
          </cell>
          <cell r="B5" t="str">
            <v>ZZZAEROENVIOS LTDA.</v>
          </cell>
          <cell r="D5">
            <v>800158934</v>
          </cell>
        </row>
        <row r="6">
          <cell r="A6">
            <v>1037629</v>
          </cell>
          <cell r="B6" t="str">
            <v>AEROTRANSPORTES CASANARE S.A.</v>
          </cell>
          <cell r="D6">
            <v>891800001</v>
          </cell>
        </row>
        <row r="7">
          <cell r="A7">
            <v>1037631</v>
          </cell>
          <cell r="B7" t="str">
            <v>AEROENVIOS COURRIER SOC.LTDA.</v>
          </cell>
          <cell r="D7">
            <v>860451401</v>
          </cell>
        </row>
        <row r="8">
          <cell r="A8">
            <v>1037633</v>
          </cell>
          <cell r="B8" t="str">
            <v>AEROAPOYO</v>
          </cell>
          <cell r="D8">
            <v>800155614</v>
          </cell>
        </row>
        <row r="9">
          <cell r="A9">
            <v>1037639</v>
          </cell>
          <cell r="B9" t="str">
            <v>AGA FANO, FABRICA NACIONAL DE</v>
          </cell>
          <cell r="D9">
            <v>860005114</v>
          </cell>
        </row>
        <row r="10">
          <cell r="A10">
            <v>1037640</v>
          </cell>
          <cell r="B10" t="str">
            <v>AGA FANO, FABRICA NACIONAL DE OXI</v>
          </cell>
          <cell r="D10">
            <v>860005114</v>
          </cell>
        </row>
        <row r="11">
          <cell r="A11">
            <v>1037641</v>
          </cell>
          <cell r="B11" t="str">
            <v>AG CONTINENTAL DISTRITO CAPITAL LTD</v>
          </cell>
          <cell r="D11">
            <v>830008995</v>
          </cell>
        </row>
        <row r="12">
          <cell r="A12">
            <v>1037647</v>
          </cell>
          <cell r="B12" t="str">
            <v>AGROHIDRAULICA LTDA.</v>
          </cell>
          <cell r="D12">
            <v>800206567</v>
          </cell>
        </row>
        <row r="13">
          <cell r="A13">
            <v>1037657</v>
          </cell>
          <cell r="B13" t="str">
            <v>AIRES S.A.</v>
          </cell>
          <cell r="D13">
            <v>890704196</v>
          </cell>
        </row>
        <row r="14">
          <cell r="A14">
            <v>1037660</v>
          </cell>
          <cell r="B14" t="str">
            <v>ALARCON JOHN JAIRO</v>
          </cell>
          <cell r="D14">
            <v>12130273</v>
          </cell>
        </row>
        <row r="15">
          <cell r="A15">
            <v>1037670</v>
          </cell>
          <cell r="B15" t="str">
            <v>ALCATEL DE COLOMBIA S.A</v>
          </cell>
          <cell r="D15">
            <v>860006583</v>
          </cell>
        </row>
        <row r="16">
          <cell r="A16">
            <v>1037671</v>
          </cell>
          <cell r="B16" t="str">
            <v>ALCARAVAN LTDA.</v>
          </cell>
          <cell r="D16">
            <v>800202143</v>
          </cell>
        </row>
        <row r="17">
          <cell r="A17">
            <v>1037673</v>
          </cell>
          <cell r="B17" t="str">
            <v>ALCIAUTOS LTDA.</v>
          </cell>
          <cell r="D17">
            <v>800011161</v>
          </cell>
        </row>
        <row r="18">
          <cell r="A18">
            <v>1037674</v>
          </cell>
          <cell r="B18" t="str">
            <v>ALDANA LIBARDO</v>
          </cell>
          <cell r="D18">
            <v>12325034</v>
          </cell>
        </row>
        <row r="19">
          <cell r="A19">
            <v>1037686</v>
          </cell>
          <cell r="B19" t="str">
            <v>ALMACEN AL-FA Y CIA.LTDA.</v>
          </cell>
          <cell r="D19">
            <v>800106847</v>
          </cell>
        </row>
        <row r="20">
          <cell r="A20">
            <v>1037696</v>
          </cell>
          <cell r="B20" t="str">
            <v>ALMACEN Y TALLERES NARINO LTDA</v>
          </cell>
          <cell r="D20">
            <v>800006213</v>
          </cell>
        </row>
        <row r="21">
          <cell r="A21">
            <v>1037701</v>
          </cell>
          <cell r="B21" t="str">
            <v>ALMACENAR</v>
          </cell>
          <cell r="D21">
            <v>860002152</v>
          </cell>
        </row>
        <row r="22">
          <cell r="A22">
            <v>1037707</v>
          </cell>
          <cell r="B22" t="str">
            <v>ALMAGRAN</v>
          </cell>
          <cell r="D22">
            <v>890903295</v>
          </cell>
        </row>
        <row r="23">
          <cell r="A23">
            <v>1037710</v>
          </cell>
          <cell r="B23" t="str">
            <v>ALPOPULAR FOR ALPOPULAR ALMACEN</v>
          </cell>
          <cell r="D23">
            <v>860020382</v>
          </cell>
        </row>
        <row r="24">
          <cell r="A24">
            <v>1037721</v>
          </cell>
          <cell r="B24" t="str">
            <v>ALVARO SANTOFIMIO E HIJOS CIA.</v>
          </cell>
          <cell r="D24">
            <v>891101991</v>
          </cell>
        </row>
        <row r="25">
          <cell r="A25">
            <v>1037741</v>
          </cell>
          <cell r="B25" t="str">
            <v>AMORTICENTRO EL YOPAL</v>
          </cell>
          <cell r="D25">
            <v>830039180</v>
          </cell>
        </row>
        <row r="26">
          <cell r="A26">
            <v>1037745</v>
          </cell>
          <cell r="B26" t="str">
            <v>ZZZANDRES RODRIGUEZ PIZARRO</v>
          </cell>
          <cell r="D26">
            <v>860536266</v>
          </cell>
        </row>
        <row r="27">
          <cell r="A27">
            <v>1037750</v>
          </cell>
          <cell r="B27" t="str">
            <v>ANDESIA QUIMICOS INDUST. S.A.</v>
          </cell>
          <cell r="D27">
            <v>830039153</v>
          </cell>
        </row>
        <row r="28">
          <cell r="A28">
            <v>1037760</v>
          </cell>
          <cell r="B28" t="str">
            <v>ARANGO Y VALENZUELA LTDA.</v>
          </cell>
          <cell r="D28">
            <v>800154792</v>
          </cell>
        </row>
        <row r="29">
          <cell r="A29">
            <v>1037764</v>
          </cell>
          <cell r="B29" t="str">
            <v>ARANGUREN DIAZ MARIA CLEMENCIA</v>
          </cell>
          <cell r="D29">
            <v>41380392</v>
          </cell>
        </row>
        <row r="30">
          <cell r="A30">
            <v>1037806</v>
          </cell>
          <cell r="B30" t="str">
            <v>ASAP LTDA</v>
          </cell>
          <cell r="D30">
            <v>860010263</v>
          </cell>
        </row>
        <row r="31">
          <cell r="A31">
            <v>1037810</v>
          </cell>
          <cell r="B31" t="str">
            <v>ASEGURADORA DE VIDA COLSEGUROS</v>
          </cell>
          <cell r="D31">
            <v>860027404</v>
          </cell>
        </row>
        <row r="32">
          <cell r="A32">
            <v>1037818</v>
          </cell>
          <cell r="B32" t="str">
            <v>ACIPET -ASOCIACION COLOMBIANA</v>
          </cell>
          <cell r="D32">
            <v>860028244</v>
          </cell>
        </row>
        <row r="33">
          <cell r="A33">
            <v>1037846</v>
          </cell>
          <cell r="B33" t="str">
            <v>AVIAR LTDA.</v>
          </cell>
          <cell r="D33">
            <v>813001487</v>
          </cell>
        </row>
        <row r="34">
          <cell r="A34">
            <v>1037852</v>
          </cell>
          <cell r="B34" t="str">
            <v>AZIMUT CARIBABARE LTDA</v>
          </cell>
          <cell r="D34">
            <v>844001198</v>
          </cell>
        </row>
        <row r="35">
          <cell r="A35">
            <v>1037853</v>
          </cell>
          <cell r="B35" t="str">
            <v>AZUCENA'S CONFECCIONES</v>
          </cell>
          <cell r="D35">
            <v>844000027</v>
          </cell>
        </row>
        <row r="36">
          <cell r="A36">
            <v>1037859</v>
          </cell>
          <cell r="B36" t="str">
            <v>BAHAMON CIELO</v>
          </cell>
          <cell r="D36">
            <v>55160570</v>
          </cell>
        </row>
        <row r="37">
          <cell r="A37">
            <v>1037862</v>
          </cell>
          <cell r="B37" t="str">
            <v>BAHAMON DE DIAZ MARINA</v>
          </cell>
          <cell r="D37">
            <v>26415873</v>
          </cell>
        </row>
        <row r="38">
          <cell r="A38">
            <v>1037873</v>
          </cell>
          <cell r="B38" t="str">
            <v>BALLESTEROS USDIOLA</v>
          </cell>
          <cell r="D38">
            <v>63300565</v>
          </cell>
        </row>
        <row r="39">
          <cell r="A39">
            <v>1037885</v>
          </cell>
          <cell r="B39" t="str">
            <v>BARRERA DANIEL.SINTAGRO</v>
          </cell>
          <cell r="D39">
            <v>19284241</v>
          </cell>
        </row>
        <row r="40">
          <cell r="A40">
            <v>1037886</v>
          </cell>
          <cell r="B40" t="str">
            <v>BARRERO BLANCA AURORA</v>
          </cell>
          <cell r="D40">
            <v>36161421</v>
          </cell>
        </row>
        <row r="41">
          <cell r="A41">
            <v>1037891</v>
          </cell>
          <cell r="B41" t="str">
            <v>BARRERA RAFAEL ANTONIO</v>
          </cell>
          <cell r="D41">
            <v>9530105</v>
          </cell>
        </row>
        <row r="42">
          <cell r="A42">
            <v>1037903</v>
          </cell>
          <cell r="B42" t="str">
            <v>BARRIOS EDUARDO</v>
          </cell>
          <cell r="D42">
            <v>4908915</v>
          </cell>
        </row>
        <row r="43">
          <cell r="A43">
            <v>1037905</v>
          </cell>
          <cell r="B43" t="str">
            <v>BARON DIAZ AMPARO</v>
          </cell>
          <cell r="D43">
            <v>36169646</v>
          </cell>
        </row>
        <row r="44">
          <cell r="A44">
            <v>1037913</v>
          </cell>
          <cell r="B44" t="str">
            <v>BATALLON DE ABASTECIMIENTOS</v>
          </cell>
          <cell r="D44">
            <v>899999003</v>
          </cell>
        </row>
        <row r="45">
          <cell r="A45">
            <v>1037915</v>
          </cell>
          <cell r="B45" t="str">
            <v>BAYONA ALIRIO</v>
          </cell>
          <cell r="D45">
            <v>42144078</v>
          </cell>
        </row>
        <row r="46">
          <cell r="A46">
            <v>1037918</v>
          </cell>
          <cell r="B46" t="str">
            <v>BECERRA M. SEGUNDO</v>
          </cell>
          <cell r="D46">
            <v>95257416</v>
          </cell>
        </row>
        <row r="47">
          <cell r="A47">
            <v>1037927</v>
          </cell>
          <cell r="B47" t="str">
            <v>BELENO JOLMAN</v>
          </cell>
          <cell r="D47">
            <v>12129407</v>
          </cell>
        </row>
        <row r="48">
          <cell r="A48">
            <v>1037928</v>
          </cell>
          <cell r="B48" t="str">
            <v>BELTRAN LUIS HUMBERTO</v>
          </cell>
          <cell r="D48">
            <v>17315133</v>
          </cell>
        </row>
        <row r="49">
          <cell r="A49">
            <v>1037930</v>
          </cell>
          <cell r="B49" t="str">
            <v>BENAVIDES P. MARIBEL</v>
          </cell>
          <cell r="D49">
            <v>51716310</v>
          </cell>
        </row>
        <row r="50">
          <cell r="A50">
            <v>1037933</v>
          </cell>
          <cell r="B50" t="str">
            <v>BENAVIDES PERAZA ERNESTO</v>
          </cell>
          <cell r="D50">
            <v>19359599</v>
          </cell>
        </row>
        <row r="51">
          <cell r="A51">
            <v>1037939</v>
          </cell>
          <cell r="B51" t="str">
            <v>BERNAL REINEL</v>
          </cell>
          <cell r="D51">
            <v>12116858</v>
          </cell>
        </row>
        <row r="52">
          <cell r="A52">
            <v>1037940</v>
          </cell>
          <cell r="B52" t="str">
            <v>BERMUDEZ R. LUIS ALBERTO</v>
          </cell>
          <cell r="D52">
            <v>19077715</v>
          </cell>
        </row>
        <row r="53">
          <cell r="A53">
            <v>1037956</v>
          </cell>
          <cell r="B53" t="str">
            <v>BJ SERVICES COMPANY S. A.</v>
          </cell>
          <cell r="D53">
            <v>86001098</v>
          </cell>
        </row>
        <row r="54">
          <cell r="A54">
            <v>1037960</v>
          </cell>
          <cell r="B54" t="str">
            <v>BLAMIS PRODUCTOS QUIMICOS LTDA</v>
          </cell>
          <cell r="D54">
            <v>800154351</v>
          </cell>
        </row>
        <row r="55">
          <cell r="A55">
            <v>1037970</v>
          </cell>
          <cell r="B55" t="str">
            <v>BOMBAS Y SERVICIOS DEL CASANARE</v>
          </cell>
          <cell r="D55">
            <v>844000015</v>
          </cell>
        </row>
        <row r="56">
          <cell r="A56">
            <v>1037976</v>
          </cell>
          <cell r="B56" t="str">
            <v>BORRERO RUBEN DARIO</v>
          </cell>
          <cell r="D56">
            <v>12137913</v>
          </cell>
        </row>
        <row r="57">
          <cell r="A57">
            <v>1037986</v>
          </cell>
          <cell r="B57" t="str">
            <v>BRAVO FRANCO JOSE IGNACIO</v>
          </cell>
          <cell r="D57">
            <v>2588866</v>
          </cell>
        </row>
        <row r="58">
          <cell r="A58">
            <v>1038007</v>
          </cell>
          <cell r="B58" t="str">
            <v>CACERES ANGARITA HECTOR</v>
          </cell>
          <cell r="D58">
            <v>4983696</v>
          </cell>
        </row>
        <row r="59">
          <cell r="A59">
            <v>1038010</v>
          </cell>
          <cell r="B59" t="str">
            <v>CADENALCO</v>
          </cell>
          <cell r="D59">
            <v>890900024</v>
          </cell>
        </row>
        <row r="60">
          <cell r="A60">
            <v>1038015</v>
          </cell>
          <cell r="B60" t="str">
            <v>CAESCA S.A.</v>
          </cell>
          <cell r="D60">
            <v>891100247</v>
          </cell>
        </row>
        <row r="61">
          <cell r="A61">
            <v>1038016</v>
          </cell>
          <cell r="B61" t="str">
            <v>CAFESALUD EPS</v>
          </cell>
          <cell r="D61">
            <v>800140949</v>
          </cell>
        </row>
        <row r="62">
          <cell r="A62">
            <v>1038019</v>
          </cell>
          <cell r="B62" t="str">
            <v>CAICEDO JORGE</v>
          </cell>
          <cell r="D62">
            <v>19284242</v>
          </cell>
        </row>
        <row r="63">
          <cell r="A63">
            <v>1038022</v>
          </cell>
          <cell r="B63" t="str">
            <v>COLSUBSIDIO - BANCO DE BOGOTA</v>
          </cell>
          <cell r="D63">
            <v>860007336</v>
          </cell>
        </row>
        <row r="64">
          <cell r="A64">
            <v>1038025</v>
          </cell>
          <cell r="B64" t="str">
            <v>CAJA DE COMPENSACION FAMILIAR</v>
          </cell>
          <cell r="D64">
            <v>891180008</v>
          </cell>
        </row>
        <row r="65">
          <cell r="A65">
            <v>1038027</v>
          </cell>
          <cell r="B65" t="str">
            <v>CAJA DE COMPENSACION FAM.CAMPE</v>
          </cell>
          <cell r="D65">
            <v>800231969</v>
          </cell>
        </row>
        <row r="66">
          <cell r="A66">
            <v>1038053</v>
          </cell>
          <cell r="B66" t="str">
            <v>CAMARA EQUIPOS AUDIOVISUALES</v>
          </cell>
          <cell r="D66">
            <v>830006669</v>
          </cell>
        </row>
        <row r="67">
          <cell r="A67">
            <v>1038059</v>
          </cell>
          <cell r="B67" t="str">
            <v>CANO JULIO HERNANDO</v>
          </cell>
          <cell r="D67">
            <v>3293321</v>
          </cell>
        </row>
        <row r="68">
          <cell r="A68">
            <v>1038066</v>
          </cell>
          <cell r="B68" t="str">
            <v>CARMEL CLUB CAMPESTRE</v>
          </cell>
          <cell r="D68">
            <v>860006800</v>
          </cell>
        </row>
        <row r="69">
          <cell r="A69">
            <v>1038104</v>
          </cell>
          <cell r="B69" t="str">
            <v>CASTRO JORGE ESNEYDER</v>
          </cell>
          <cell r="D69">
            <v>9533642</v>
          </cell>
        </row>
        <row r="70">
          <cell r="A70">
            <v>1038142</v>
          </cell>
          <cell r="B70" t="str">
            <v>CELUMOVIL S.A.</v>
          </cell>
          <cell r="D70">
            <v>830037330</v>
          </cell>
        </row>
        <row r="71">
          <cell r="A71">
            <v>1038146</v>
          </cell>
          <cell r="B71" t="str">
            <v>CENTRO MITSUBISHI LTDA</v>
          </cell>
          <cell r="D71">
            <v>800152884</v>
          </cell>
        </row>
        <row r="72">
          <cell r="A72">
            <v>1038155</v>
          </cell>
          <cell r="B72" t="str">
            <v>CERTIFIED LABORATORIES COLOMBI</v>
          </cell>
          <cell r="D72">
            <v>800249597</v>
          </cell>
        </row>
        <row r="73">
          <cell r="A73">
            <v>1038161</v>
          </cell>
          <cell r="B73" t="str">
            <v>CESANTIAS Y PENSIONES COLMENA</v>
          </cell>
          <cell r="D73">
            <v>800229255</v>
          </cell>
        </row>
        <row r="74">
          <cell r="A74">
            <v>1038166</v>
          </cell>
          <cell r="B74" t="str">
            <v>CHARRY B JOSE FAIBER-TIP CENTR</v>
          </cell>
          <cell r="D74">
            <v>14198012</v>
          </cell>
        </row>
        <row r="75">
          <cell r="A75">
            <v>1038186</v>
          </cell>
          <cell r="B75" t="str">
            <v>ACE SEGUROS S A</v>
          </cell>
          <cell r="D75">
            <v>860026518</v>
          </cell>
        </row>
        <row r="76">
          <cell r="A76">
            <v>1038197</v>
          </cell>
          <cell r="B76" t="str">
            <v>CLINICA CENTRAL DE ESPECIALIST</v>
          </cell>
          <cell r="D76">
            <v>891102948</v>
          </cell>
        </row>
        <row r="77">
          <cell r="A77">
            <v>1038209</v>
          </cell>
          <cell r="B77" t="str">
            <v>CODENSA S.A. ESP</v>
          </cell>
          <cell r="D77">
            <v>830037248</v>
          </cell>
        </row>
        <row r="78">
          <cell r="A78">
            <v>1038211</v>
          </cell>
          <cell r="B78" t="str">
            <v>COLEGIO NUEVA GRANADA</v>
          </cell>
          <cell r="D78">
            <v>860006522</v>
          </cell>
        </row>
        <row r="79">
          <cell r="A79">
            <v>1038213</v>
          </cell>
          <cell r="B79" t="str">
            <v>COLSA LTDA</v>
          </cell>
          <cell r="D79">
            <v>860034080</v>
          </cell>
        </row>
        <row r="80">
          <cell r="A80">
            <v>1038220</v>
          </cell>
          <cell r="B80" t="str">
            <v>COLCELL LTDA.</v>
          </cell>
          <cell r="D80">
            <v>800247345</v>
          </cell>
        </row>
        <row r="81">
          <cell r="A81">
            <v>1038230</v>
          </cell>
          <cell r="B81" t="str">
            <v>COMCEL S. A.</v>
          </cell>
          <cell r="D81">
            <v>800153993</v>
          </cell>
        </row>
        <row r="82">
          <cell r="A82">
            <v>1038233</v>
          </cell>
          <cell r="B82" t="str">
            <v>COMPANIA TELEFONICA DEL HUILA</v>
          </cell>
          <cell r="D82">
            <v>891100055</v>
          </cell>
        </row>
        <row r="83">
          <cell r="A83">
            <v>1038235</v>
          </cell>
          <cell r="B83" t="str">
            <v>COMPANIA DE TAXIS VERDES</v>
          </cell>
          <cell r="D83">
            <v>860007701</v>
          </cell>
        </row>
        <row r="84">
          <cell r="A84">
            <v>1038237</v>
          </cell>
          <cell r="B84" t="str">
            <v>COMERCIALIZADORA AGROINDUSTRIA DE</v>
          </cell>
          <cell r="D84">
            <v>800123978</v>
          </cell>
        </row>
        <row r="85">
          <cell r="A85">
            <v>1038238</v>
          </cell>
          <cell r="B85" t="str">
            <v>ZZZCOMCEL S.A.</v>
          </cell>
          <cell r="D85">
            <v>800153993</v>
          </cell>
        </row>
        <row r="86">
          <cell r="A86">
            <v>1038243</v>
          </cell>
          <cell r="B86" t="str">
            <v>ZZZCOMCEL S.A.</v>
          </cell>
          <cell r="D86">
            <v>800153993</v>
          </cell>
        </row>
        <row r="87">
          <cell r="A87">
            <v>1038245</v>
          </cell>
          <cell r="B87" t="str">
            <v>COMPENSAR</v>
          </cell>
          <cell r="D87">
            <v>860066942</v>
          </cell>
        </row>
        <row r="88">
          <cell r="A88">
            <v>1038248</v>
          </cell>
          <cell r="B88" t="str">
            <v>COMPANIA ASEGURADORA DE FIANZA</v>
          </cell>
          <cell r="D88">
            <v>860070374</v>
          </cell>
        </row>
        <row r="89">
          <cell r="A89">
            <v>1038250</v>
          </cell>
          <cell r="B89" t="str">
            <v>COMPUMARKET LTDA.</v>
          </cell>
          <cell r="D89">
            <v>800256455</v>
          </cell>
        </row>
        <row r="90">
          <cell r="A90">
            <v>1038253</v>
          </cell>
          <cell r="B90" t="str">
            <v>COMPANIA MUNDIAL DE SEGUROS</v>
          </cell>
          <cell r="D90">
            <v>860037013</v>
          </cell>
        </row>
        <row r="91">
          <cell r="A91">
            <v>1038260</v>
          </cell>
          <cell r="B91" t="str">
            <v>COMPYNET LTDA.</v>
          </cell>
          <cell r="D91">
            <v>800220653</v>
          </cell>
        </row>
        <row r="92">
          <cell r="A92">
            <v>1038262</v>
          </cell>
          <cell r="B92" t="str">
            <v>CONSEJO COLOMBIANO DE SEGURIDA</v>
          </cell>
          <cell r="D92">
            <v>860007378</v>
          </cell>
        </row>
        <row r="93">
          <cell r="A93">
            <v>1038280</v>
          </cell>
          <cell r="B93" t="str">
            <v>CONTROL DOCUMENTAL E.U.</v>
          </cell>
          <cell r="D93">
            <v>830041538</v>
          </cell>
        </row>
        <row r="94">
          <cell r="A94">
            <v>1038283</v>
          </cell>
          <cell r="B94" t="str">
            <v>CONVIVIR</v>
          </cell>
          <cell r="D94">
            <v>800252233</v>
          </cell>
        </row>
        <row r="95">
          <cell r="A95">
            <v>1038287</v>
          </cell>
          <cell r="B95" t="str">
            <v>COOTRANSGANADERA LTDA</v>
          </cell>
          <cell r="D95">
            <v>891190000</v>
          </cell>
        </row>
        <row r="96">
          <cell r="A96">
            <v>1038296</v>
          </cell>
          <cell r="B96" t="str">
            <v>COOMEVA</v>
          </cell>
          <cell r="D96">
            <v>805000427</v>
          </cell>
        </row>
        <row r="97">
          <cell r="A97">
            <v>1038302</v>
          </cell>
          <cell r="B97" t="str">
            <v>CORPORACION CLUB CAMPESTRE DE</v>
          </cell>
          <cell r="D97">
            <v>91100350</v>
          </cell>
        </row>
        <row r="98">
          <cell r="A98">
            <v>1038313</v>
          </cell>
          <cell r="B98" t="str">
            <v>CORPORACION HATOGRANDE GOLF AND</v>
          </cell>
          <cell r="C98" t="str">
            <v>CARRETERA CENTRAL</v>
          </cell>
          <cell r="D98">
            <v>800222357</v>
          </cell>
        </row>
        <row r="99">
          <cell r="A99">
            <v>1038314</v>
          </cell>
          <cell r="B99" t="str">
            <v>CORDOBA ANGULO MIGUEL</v>
          </cell>
          <cell r="D99">
            <v>12966402</v>
          </cell>
        </row>
        <row r="100">
          <cell r="A100">
            <v>1038321</v>
          </cell>
          <cell r="B100" t="str">
            <v>CORTES &amp; CIA. S. EN C.</v>
          </cell>
          <cell r="D100">
            <v>813000938</v>
          </cell>
        </row>
        <row r="101">
          <cell r="A101">
            <v>1038322</v>
          </cell>
          <cell r="B101" t="str">
            <v>CORTES PERDOMO JAIME</v>
          </cell>
          <cell r="D101">
            <v>12136684</v>
          </cell>
        </row>
        <row r="102">
          <cell r="A102">
            <v>1038325</v>
          </cell>
          <cell r="B102" t="str">
            <v>COVEY LEADERSHIP CENTER</v>
          </cell>
        </row>
        <row r="103">
          <cell r="A103">
            <v>1038339</v>
          </cell>
          <cell r="B103" t="str">
            <v>CRUZ ROJA COLOMBIANA</v>
          </cell>
          <cell r="D103">
            <v>891180262</v>
          </cell>
        </row>
        <row r="104">
          <cell r="A104">
            <v>1038340</v>
          </cell>
          <cell r="B104" t="str">
            <v>CRUZ BLANCA E.P.S.  S.A.</v>
          </cell>
          <cell r="D104">
            <v>830009783</v>
          </cell>
        </row>
        <row r="105">
          <cell r="A105">
            <v>1038344</v>
          </cell>
          <cell r="B105" t="str">
            <v>GASES INDUSTRIALES DE COLOMBIA S.A.</v>
          </cell>
          <cell r="D105">
            <v>860013704</v>
          </cell>
        </row>
        <row r="106">
          <cell r="A106">
            <v>1038347</v>
          </cell>
          <cell r="B106" t="str">
            <v>CUERVO JAIRO JOSE</v>
          </cell>
          <cell r="D106">
            <v>6753372</v>
          </cell>
        </row>
        <row r="107">
          <cell r="A107">
            <v>1038356</v>
          </cell>
          <cell r="B107" t="str">
            <v>CUMMINS DE LOS ANDES S.A.</v>
          </cell>
          <cell r="D107">
            <v>800071617</v>
          </cell>
        </row>
        <row r="108">
          <cell r="A108">
            <v>1038365</v>
          </cell>
          <cell r="B108" t="str">
            <v>DATECSA S. A.</v>
          </cell>
          <cell r="D108">
            <v>800136505</v>
          </cell>
        </row>
        <row r="109">
          <cell r="A109">
            <v>1038367</v>
          </cell>
          <cell r="B109" t="str">
            <v>DATA LOG COLOMBIA LTDA.</v>
          </cell>
          <cell r="D109">
            <v>800082889</v>
          </cell>
        </row>
        <row r="110">
          <cell r="A110">
            <v>1038368</v>
          </cell>
          <cell r="B110" t="str">
            <v>DAVIVIR PENSIONES Y CESANTIAS</v>
          </cell>
          <cell r="D110">
            <v>800224827</v>
          </cell>
        </row>
        <row r="111">
          <cell r="A111">
            <v>1038383</v>
          </cell>
          <cell r="B111" t="str">
            <v>DEPORTIVAS HERNANDO PINEROS</v>
          </cell>
          <cell r="D111">
            <v>860067722</v>
          </cell>
        </row>
        <row r="112">
          <cell r="A112">
            <v>1038385</v>
          </cell>
          <cell r="B112" t="str">
            <v>DE PERILLA CARMEN ROSA</v>
          </cell>
          <cell r="D112">
            <v>21219846</v>
          </cell>
        </row>
        <row r="113">
          <cell r="A113">
            <v>1038390</v>
          </cell>
          <cell r="B113" t="str">
            <v>ZZZDHL INTERNACIONAL LTDA.</v>
          </cell>
          <cell r="D113">
            <v>860502609</v>
          </cell>
        </row>
        <row r="114">
          <cell r="A114">
            <v>1038424</v>
          </cell>
          <cell r="B114" t="str">
            <v>DINELEC LTDA.</v>
          </cell>
          <cell r="D114">
            <v>800035521</v>
          </cell>
        </row>
        <row r="115">
          <cell r="A115">
            <v>1038433</v>
          </cell>
          <cell r="B115" t="str">
            <v>ZZZDISTRIBUIDORA TOYOTA LTDA</v>
          </cell>
          <cell r="D115">
            <v>860020058</v>
          </cell>
        </row>
        <row r="116">
          <cell r="A116">
            <v>1038434</v>
          </cell>
          <cell r="B116" t="str">
            <v>DISTRIBUIDORA BOG LTDA</v>
          </cell>
          <cell r="D116">
            <v>860530375</v>
          </cell>
        </row>
        <row r="117">
          <cell r="A117">
            <v>1038438</v>
          </cell>
          <cell r="B117" t="str">
            <v>DISTRIBUIDORA TOYOTA LTDA.</v>
          </cell>
          <cell r="D117">
            <v>860020058</v>
          </cell>
        </row>
        <row r="118">
          <cell r="A118">
            <v>1038447</v>
          </cell>
          <cell r="B118" t="str">
            <v>DISTRIBUIDORA GUARIN POVEDA</v>
          </cell>
          <cell r="D118">
            <v>79453125</v>
          </cell>
        </row>
        <row r="119">
          <cell r="A119">
            <v>1038461</v>
          </cell>
          <cell r="B119" t="str">
            <v>DUENAS PEDRO F.-PAPELERIA MODELO</v>
          </cell>
          <cell r="D119">
            <v>67739066</v>
          </cell>
        </row>
        <row r="120">
          <cell r="A120">
            <v>1038471</v>
          </cell>
          <cell r="B120" t="str">
            <v>DURAN GARCIA HERNANDO</v>
          </cell>
          <cell r="D120">
            <v>12104083</v>
          </cell>
        </row>
        <row r="121">
          <cell r="A121">
            <v>1038473</v>
          </cell>
          <cell r="B121" t="str">
            <v>DUSSAN JUDITH CHARRY DE ASADER</v>
          </cell>
          <cell r="D121">
            <v>26401128</v>
          </cell>
        </row>
        <row r="122">
          <cell r="A122">
            <v>1038482</v>
          </cell>
          <cell r="B122" t="str">
            <v>ECSA</v>
          </cell>
          <cell r="D122">
            <v>860353441</v>
          </cell>
        </row>
        <row r="123">
          <cell r="A123">
            <v>1038483</v>
          </cell>
          <cell r="B123" t="str">
            <v>EDGAR PERDOMO Y CIA. LTDA.</v>
          </cell>
          <cell r="D123">
            <v>800021451</v>
          </cell>
        </row>
        <row r="124">
          <cell r="A124">
            <v>1038489</v>
          </cell>
          <cell r="B124" t="str">
            <v>EDIFICIO PALMA REAL</v>
          </cell>
          <cell r="D124">
            <v>813000337</v>
          </cell>
        </row>
        <row r="125">
          <cell r="A125">
            <v>1038494</v>
          </cell>
          <cell r="B125" t="str">
            <v>EDIFICIO SEGUROS DEL COMERCIO</v>
          </cell>
          <cell r="D125">
            <v>800145713</v>
          </cell>
        </row>
        <row r="126">
          <cell r="A126">
            <v>1038498</v>
          </cell>
          <cell r="B126" t="str">
            <v>ELECTRIFICADORA DEL HUILA S.A.</v>
          </cell>
          <cell r="D126">
            <v>891180001</v>
          </cell>
        </row>
        <row r="127">
          <cell r="A127">
            <v>1038503</v>
          </cell>
          <cell r="B127" t="str">
            <v>ELECTRIFICADORA DE BOYACA S.A.</v>
          </cell>
          <cell r="D127">
            <v>891800219</v>
          </cell>
        </row>
        <row r="128">
          <cell r="A128">
            <v>1038528</v>
          </cell>
          <cell r="B128" t="str">
            <v>ZZZEL TIEMPO</v>
          </cell>
          <cell r="D128">
            <v>860001022</v>
          </cell>
        </row>
        <row r="129">
          <cell r="A129">
            <v>1038529</v>
          </cell>
          <cell r="B129" t="str">
            <v>EL TIEMPO</v>
          </cell>
          <cell r="D129">
            <v>860001022</v>
          </cell>
        </row>
        <row r="130">
          <cell r="A130">
            <v>1038531</v>
          </cell>
          <cell r="B130" t="str">
            <v>EMPLEADOS BOGOTA</v>
          </cell>
          <cell r="D130">
            <v>150</v>
          </cell>
        </row>
        <row r="131">
          <cell r="A131">
            <v>1038532</v>
          </cell>
          <cell r="B131" t="str">
            <v>EMPLEADOS NEIVA</v>
          </cell>
          <cell r="D131">
            <v>150</v>
          </cell>
        </row>
        <row r="132">
          <cell r="A132">
            <v>1038533</v>
          </cell>
          <cell r="B132" t="str">
            <v>EMPRESA DE TELECOMUNICACIONES DE</v>
          </cell>
          <cell r="D132">
            <v>899999115</v>
          </cell>
        </row>
        <row r="133">
          <cell r="A133">
            <v>1038534</v>
          </cell>
          <cell r="B133" t="str">
            <v>E.A.A.B  - ESP</v>
          </cell>
          <cell r="D133">
            <v>899999094</v>
          </cell>
        </row>
        <row r="134">
          <cell r="A134">
            <v>1038536</v>
          </cell>
          <cell r="B134" t="str">
            <v>EMPLEADOS YOPAL</v>
          </cell>
          <cell r="D134">
            <v>200</v>
          </cell>
        </row>
        <row r="135">
          <cell r="A135">
            <v>1038540</v>
          </cell>
          <cell r="B135" t="str">
            <v>EMPRESA DE ACUEDUCTO DE YOPAL</v>
          </cell>
          <cell r="D135">
            <v>844000755</v>
          </cell>
        </row>
        <row r="136">
          <cell r="A136">
            <v>1038550</v>
          </cell>
          <cell r="B136" t="str">
            <v>E.P.S. SANITAS</v>
          </cell>
          <cell r="D136">
            <v>800251440</v>
          </cell>
        </row>
        <row r="137">
          <cell r="A137">
            <v>1038553</v>
          </cell>
          <cell r="B137" t="str">
            <v>EQUIPOS GLEASON S.A.</v>
          </cell>
          <cell r="D137">
            <v>890903475</v>
          </cell>
        </row>
        <row r="138">
          <cell r="A138">
            <v>1038557</v>
          </cell>
          <cell r="B138" t="str">
            <v>ERAZO VALENCIA &amp; CIA. S. EN C.</v>
          </cell>
          <cell r="D138">
            <v>860514604</v>
          </cell>
        </row>
        <row r="139">
          <cell r="A139">
            <v>1038568</v>
          </cell>
          <cell r="B139" t="str">
            <v>ESPINOSA LUIS A</v>
          </cell>
          <cell r="D139">
            <v>7685565</v>
          </cell>
        </row>
        <row r="140">
          <cell r="A140">
            <v>1038571</v>
          </cell>
          <cell r="B140" t="str">
            <v>ESPINOSA VESGA JORGE E.</v>
          </cell>
          <cell r="D140">
            <v>67454106</v>
          </cell>
        </row>
        <row r="141">
          <cell r="A141">
            <v>1038574</v>
          </cell>
          <cell r="B141" t="str">
            <v>ESPECIALISTAS EN TRANSITO Y SE</v>
          </cell>
          <cell r="D141">
            <v>844001183</v>
          </cell>
        </row>
        <row r="142">
          <cell r="A142">
            <v>1038577</v>
          </cell>
          <cell r="B142" t="str">
            <v>ESSO COLOMBIA LIMITED</v>
          </cell>
          <cell r="D142">
            <v>860028373</v>
          </cell>
        </row>
        <row r="143">
          <cell r="A143">
            <v>1038578</v>
          </cell>
          <cell r="B143" t="str">
            <v>ESTACION DE SERVICIOS EL CHICO</v>
          </cell>
          <cell r="D143">
            <v>800019888</v>
          </cell>
        </row>
        <row r="144">
          <cell r="A144">
            <v>1038601</v>
          </cell>
          <cell r="B144" t="str">
            <v>EXRO LTDA</v>
          </cell>
          <cell r="D144">
            <v>860052601</v>
          </cell>
        </row>
        <row r="145">
          <cell r="A145">
            <v>1038602</v>
          </cell>
          <cell r="B145" t="str">
            <v>EXRO LTDA.</v>
          </cell>
          <cell r="D145">
            <v>860052601</v>
          </cell>
        </row>
        <row r="146">
          <cell r="A146">
            <v>1038607</v>
          </cell>
          <cell r="B146" t="str">
            <v>FAMISANAR</v>
          </cell>
          <cell r="D146">
            <v>830003564</v>
          </cell>
        </row>
        <row r="147">
          <cell r="A147">
            <v>1038608</v>
          </cell>
          <cell r="B147" t="str">
            <v>FASTAFF</v>
          </cell>
          <cell r="D147">
            <v>813000680</v>
          </cell>
        </row>
        <row r="148">
          <cell r="A148">
            <v>1038617</v>
          </cell>
          <cell r="B148" t="str">
            <v>FERRETERIA CENTRAL LTDA</v>
          </cell>
          <cell r="D148">
            <v>891104420</v>
          </cell>
        </row>
        <row r="149">
          <cell r="A149">
            <v>1038620</v>
          </cell>
          <cell r="B149" t="str">
            <v>FERRETERIA REINA S EN C</v>
          </cell>
          <cell r="D149">
            <v>860001607</v>
          </cell>
        </row>
        <row r="150">
          <cell r="A150">
            <v>1038626</v>
          </cell>
          <cell r="B150" t="str">
            <v>FERRETERIA LA PRINCIPAL</v>
          </cell>
          <cell r="D150">
            <v>95182677</v>
          </cell>
        </row>
        <row r="151">
          <cell r="A151">
            <v>1038655</v>
          </cell>
          <cell r="B151" t="str">
            <v>FERRETORNILLO LA BAHIA Y CIA.</v>
          </cell>
          <cell r="D151">
            <v>813002675</v>
          </cell>
        </row>
        <row r="152">
          <cell r="A152">
            <v>1038661</v>
          </cell>
          <cell r="B152" t="str">
            <v>FERRETERIA DISTUVAL LTDA</v>
          </cell>
          <cell r="D152">
            <v>800081221</v>
          </cell>
        </row>
        <row r="153">
          <cell r="A153">
            <v>1038671</v>
          </cell>
          <cell r="B153" t="str">
            <v>FIERRO GUSTAVO CESAR</v>
          </cell>
          <cell r="D153">
            <v>6079223</v>
          </cell>
        </row>
        <row r="154">
          <cell r="A154">
            <v>1038676</v>
          </cell>
          <cell r="B154" t="str">
            <v>FILMACIONES RIGA LTDA.</v>
          </cell>
          <cell r="D154">
            <v>800250427</v>
          </cell>
        </row>
        <row r="155">
          <cell r="A155">
            <v>1038677</v>
          </cell>
          <cell r="B155" t="str">
            <v>FILTROS Y LUBRICANTES</v>
          </cell>
          <cell r="D155">
            <v>41707376</v>
          </cell>
        </row>
        <row r="156">
          <cell r="A156">
            <v>1038685</v>
          </cell>
          <cell r="B156" t="str">
            <v>FONDO DE EMPLEADOS FEHALCO</v>
          </cell>
          <cell r="D156">
            <v>800116602</v>
          </cell>
        </row>
        <row r="157">
          <cell r="A157">
            <v>1038687</v>
          </cell>
          <cell r="B157" t="str">
            <v>FONDO DE CESANTIAS PORVENIR</v>
          </cell>
          <cell r="D157">
            <v>800170043</v>
          </cell>
        </row>
        <row r="158">
          <cell r="A158">
            <v>1038688</v>
          </cell>
          <cell r="B158" t="str">
            <v>COLFONDOS S. A.</v>
          </cell>
          <cell r="D158">
            <v>800227940</v>
          </cell>
        </row>
        <row r="159">
          <cell r="A159">
            <v>1038689</v>
          </cell>
          <cell r="B159" t="str">
            <v>FONSECA GILBERTO</v>
          </cell>
          <cell r="D159">
            <v>9657247</v>
          </cell>
        </row>
        <row r="160">
          <cell r="A160">
            <v>1038693</v>
          </cell>
          <cell r="B160" t="str">
            <v>FONDO DE PENSIONES COLPATRIA</v>
          </cell>
          <cell r="D160">
            <v>800139690</v>
          </cell>
        </row>
        <row r="161">
          <cell r="A161">
            <v>1038697</v>
          </cell>
          <cell r="B161" t="str">
            <v>FONSECA SUAREZ JACQUELINE</v>
          </cell>
          <cell r="D161">
            <v>63352054</v>
          </cell>
        </row>
        <row r="162">
          <cell r="A162">
            <v>1038698</v>
          </cell>
          <cell r="B162" t="str">
            <v>PENSIONAR FONDO DE PENSIONES</v>
          </cell>
          <cell r="D162">
            <v>830005611</v>
          </cell>
        </row>
        <row r="163">
          <cell r="A163">
            <v>1038717</v>
          </cell>
          <cell r="B163" t="str">
            <v>FUNDACION SANTANDER</v>
          </cell>
          <cell r="D163">
            <v>860013487</v>
          </cell>
        </row>
        <row r="164">
          <cell r="A164">
            <v>1038721</v>
          </cell>
          <cell r="B164" t="str">
            <v>FUNDACION COMPUCLUB</v>
          </cell>
          <cell r="D164">
            <v>830044902</v>
          </cell>
        </row>
        <row r="165">
          <cell r="A165">
            <v>1038740</v>
          </cell>
          <cell r="B165" t="str">
            <v>GALAXY ENTERTAINMENT DE COL.</v>
          </cell>
          <cell r="D165">
            <v>805006014</v>
          </cell>
        </row>
        <row r="166">
          <cell r="A166">
            <v>1038746</v>
          </cell>
          <cell r="B166" t="str">
            <v>GAMA QUIJANO RAFAEL</v>
          </cell>
          <cell r="D166">
            <v>154137</v>
          </cell>
        </row>
        <row r="167">
          <cell r="A167">
            <v>1038752</v>
          </cell>
          <cell r="B167" t="str">
            <v>GARZON RAFAEL</v>
          </cell>
          <cell r="D167">
            <v>12095710</v>
          </cell>
        </row>
        <row r="168">
          <cell r="A168">
            <v>1038763</v>
          </cell>
          <cell r="B168" t="str">
            <v>IMPORTADORA LAS TRACTOMULAS M Y G</v>
          </cell>
          <cell r="D168">
            <v>813006182</v>
          </cell>
        </row>
        <row r="169">
          <cell r="A169">
            <v>1038767</v>
          </cell>
          <cell r="B169" t="str">
            <v>GARCIA TOVAR VICENTE</v>
          </cell>
          <cell r="D169">
            <v>804161890</v>
          </cell>
        </row>
        <row r="170">
          <cell r="A170">
            <v>1038778</v>
          </cell>
          <cell r="B170" t="str">
            <v>GARCIA GARCIA JOSE ALEJANDRO</v>
          </cell>
          <cell r="D170">
            <v>7686163</v>
          </cell>
        </row>
        <row r="171">
          <cell r="A171">
            <v>1038785</v>
          </cell>
          <cell r="B171" t="str">
            <v>GASEOSAS DEL HUILA S.A.</v>
          </cell>
          <cell r="D171">
            <v>891100136</v>
          </cell>
        </row>
        <row r="172">
          <cell r="A172">
            <v>1038794</v>
          </cell>
          <cell r="B172" t="str">
            <v>GECOLSA</v>
          </cell>
          <cell r="D172">
            <v>860002576</v>
          </cell>
        </row>
        <row r="173">
          <cell r="A173">
            <v>1038795</v>
          </cell>
          <cell r="B173" t="str">
            <v>GECOLSA</v>
          </cell>
          <cell r="D173">
            <v>860002576</v>
          </cell>
        </row>
        <row r="174">
          <cell r="A174">
            <v>1038797</v>
          </cell>
          <cell r="B174" t="str">
            <v>GENERAL PIPE SERVICE INC.</v>
          </cell>
          <cell r="D174">
            <v>860004843</v>
          </cell>
        </row>
        <row r="175">
          <cell r="A175">
            <v>1038804</v>
          </cell>
          <cell r="B175" t="str">
            <v>GERMAN VASQUEZ &amp; CIA.</v>
          </cell>
          <cell r="D175">
            <v>891101643</v>
          </cell>
        </row>
        <row r="176">
          <cell r="A176">
            <v>1038807</v>
          </cell>
          <cell r="B176" t="str">
            <v>GHL COMUNICACIONES Y EQUIPOS LTDA</v>
          </cell>
          <cell r="D176">
            <v>800165179</v>
          </cell>
        </row>
        <row r="177">
          <cell r="A177">
            <v>1038835</v>
          </cell>
          <cell r="B177" t="str">
            <v>GONZALEZ MARIA HELENA</v>
          </cell>
          <cell r="D177">
            <v>35504876</v>
          </cell>
        </row>
        <row r="178">
          <cell r="A178">
            <v>1038860</v>
          </cell>
          <cell r="B178" t="str">
            <v>GUEVARA MYRIAM DE O PASTELERIA Y</v>
          </cell>
          <cell r="D178">
            <v>23740244</v>
          </cell>
        </row>
        <row r="179">
          <cell r="A179">
            <v>1038867</v>
          </cell>
          <cell r="B179" t="str">
            <v>GUTIERREZ JAIME</v>
          </cell>
          <cell r="D179">
            <v>12113921</v>
          </cell>
        </row>
        <row r="180">
          <cell r="A180">
            <v>1038890</v>
          </cell>
          <cell r="B180" t="str">
            <v>HEDMONT NAIXLE</v>
          </cell>
          <cell r="D180">
            <v>31292596</v>
          </cell>
        </row>
        <row r="181">
          <cell r="A181">
            <v>1038912</v>
          </cell>
          <cell r="B181" t="str">
            <v>HERNANDEZ CACERES STELLA</v>
          </cell>
          <cell r="D181">
            <v>23861718</v>
          </cell>
        </row>
        <row r="182">
          <cell r="A182">
            <v>1038921</v>
          </cell>
          <cell r="B182" t="str">
            <v>HIDELPA S.A.</v>
          </cell>
          <cell r="D182">
            <v>800183759</v>
          </cell>
        </row>
        <row r="183">
          <cell r="A183">
            <v>1038925</v>
          </cell>
          <cell r="B183" t="str">
            <v>HIGHLANDER LTDA.</v>
          </cell>
          <cell r="D183">
            <v>830035933</v>
          </cell>
        </row>
        <row r="184">
          <cell r="A184">
            <v>1038932</v>
          </cell>
          <cell r="B184" t="str">
            <v>HOCOL S.A.</v>
          </cell>
          <cell r="D184">
            <v>860072134</v>
          </cell>
        </row>
        <row r="185">
          <cell r="A185">
            <v>1038933</v>
          </cell>
          <cell r="B185" t="str">
            <v>HOGAR FUTURO</v>
          </cell>
          <cell r="D185">
            <v>813002480</v>
          </cell>
        </row>
        <row r="186">
          <cell r="A186">
            <v>1038939</v>
          </cell>
          <cell r="B186" t="str">
            <v>HORIZONTE PENSIONES Y CESANTIA</v>
          </cell>
          <cell r="D186">
            <v>800189529</v>
          </cell>
        </row>
        <row r="187">
          <cell r="A187">
            <v>1038942</v>
          </cell>
          <cell r="B187" t="str">
            <v>HOTEL AMERICANO</v>
          </cell>
          <cell r="D187">
            <v>91101664</v>
          </cell>
        </row>
        <row r="188">
          <cell r="A188">
            <v>1038944</v>
          </cell>
          <cell r="B188" t="str">
            <v>HOTEL CHICALA LTDA</v>
          </cell>
          <cell r="D188">
            <v>891101711</v>
          </cell>
        </row>
        <row r="189">
          <cell r="A189">
            <v>1038945</v>
          </cell>
          <cell r="B189" t="str">
            <v>HOTEL LA BOHEME LTDA.</v>
          </cell>
          <cell r="D189">
            <v>860087204</v>
          </cell>
        </row>
        <row r="190">
          <cell r="A190">
            <v>1038946</v>
          </cell>
          <cell r="B190" t="str">
            <v>HOTEL HACIENDA ROYAL LTDA.</v>
          </cell>
          <cell r="D190">
            <v>800087202</v>
          </cell>
        </row>
        <row r="191">
          <cell r="A191">
            <v>1038948</v>
          </cell>
          <cell r="B191" t="str">
            <v>HOTEL PACANDE INVERSIONES PERFETTI</v>
          </cell>
          <cell r="D191">
            <v>891105010</v>
          </cell>
        </row>
        <row r="192">
          <cell r="A192">
            <v>1038976</v>
          </cell>
          <cell r="B192" t="str">
            <v>HOTEL BACHUE</v>
          </cell>
          <cell r="D192">
            <v>890600394</v>
          </cell>
        </row>
        <row r="193">
          <cell r="A193">
            <v>1038979</v>
          </cell>
          <cell r="B193" t="str">
            <v>HOTEL EL MESON</v>
          </cell>
          <cell r="D193">
            <v>890942791</v>
          </cell>
        </row>
        <row r="194">
          <cell r="A194">
            <v>1039003</v>
          </cell>
          <cell r="B194" t="str">
            <v>HUMANA</v>
          </cell>
          <cell r="D194">
            <v>800087750</v>
          </cell>
        </row>
        <row r="195">
          <cell r="A195">
            <v>1039004</v>
          </cell>
          <cell r="B195" t="str">
            <v>HUMANA VIVIR S.A.</v>
          </cell>
          <cell r="D195">
            <v>830006404</v>
          </cell>
        </row>
        <row r="196">
          <cell r="A196">
            <v>1039012</v>
          </cell>
          <cell r="B196" t="str">
            <v>IBM DE COLOMBIA S.A.</v>
          </cell>
          <cell r="D196">
            <v>860002120</v>
          </cell>
        </row>
        <row r="197">
          <cell r="A197">
            <v>1039033</v>
          </cell>
          <cell r="B197" t="str">
            <v>CS IMPRESORES LTDA.</v>
          </cell>
          <cell r="D197">
            <v>860509054</v>
          </cell>
        </row>
        <row r="198">
          <cell r="A198">
            <v>1039036</v>
          </cell>
          <cell r="B198" t="str">
            <v>INCOMEX</v>
          </cell>
          <cell r="D198">
            <v>899999108</v>
          </cell>
        </row>
        <row r="199">
          <cell r="A199">
            <v>1039042</v>
          </cell>
          <cell r="B199" t="str">
            <v>INDUSTRIA MILITAR</v>
          </cell>
          <cell r="D199">
            <v>899999044</v>
          </cell>
        </row>
        <row r="200">
          <cell r="A200">
            <v>1039043</v>
          </cell>
          <cell r="B200" t="str">
            <v>INDUSTRIA Y CARROCERIAS MAC</v>
          </cell>
          <cell r="D200">
            <v>800160448</v>
          </cell>
        </row>
        <row r="201">
          <cell r="A201">
            <v>1039050</v>
          </cell>
          <cell r="B201" t="str">
            <v>INDUSTRIAS METALICAS SAAD LTDA</v>
          </cell>
          <cell r="D201">
            <v>860514664</v>
          </cell>
        </row>
        <row r="202">
          <cell r="A202">
            <v>1039061</v>
          </cell>
          <cell r="B202" t="str">
            <v>INGENIARCO LTDA.</v>
          </cell>
          <cell r="D202">
            <v>813000206</v>
          </cell>
        </row>
        <row r="203">
          <cell r="A203">
            <v>1039066</v>
          </cell>
          <cell r="B203" t="str">
            <v>INMOBILIARIA MORALES HERMANOS</v>
          </cell>
          <cell r="D203">
            <v>800229048</v>
          </cell>
        </row>
        <row r="204">
          <cell r="A204">
            <v>1039068</v>
          </cell>
          <cell r="B204" t="str">
            <v>INSTITUTO DE SEGUROS SOCIALES</v>
          </cell>
          <cell r="D204">
            <v>860013816</v>
          </cell>
        </row>
        <row r="205">
          <cell r="A205">
            <v>1039069</v>
          </cell>
          <cell r="B205" t="str">
            <v>INSTITUTO NACIONAL DE CONTADOR</v>
          </cell>
          <cell r="D205">
            <v>800042079</v>
          </cell>
        </row>
        <row r="206">
          <cell r="A206">
            <v>1039077</v>
          </cell>
          <cell r="B206" t="str">
            <v>INTEGRAL DE SERVICIOS TECNICOS LTDA</v>
          </cell>
          <cell r="D206">
            <v>890504655</v>
          </cell>
        </row>
        <row r="207">
          <cell r="A207">
            <v>1039082</v>
          </cell>
          <cell r="B207" t="str">
            <v>INTEXCOL LTDA.</v>
          </cell>
          <cell r="D207">
            <v>800178154</v>
          </cell>
        </row>
        <row r="208">
          <cell r="A208">
            <v>1039085</v>
          </cell>
          <cell r="B208" t="str">
            <v>INTEGRAL DE SERV.Y TRANS.LTDA.</v>
          </cell>
          <cell r="D208">
            <v>844000002</v>
          </cell>
        </row>
        <row r="209">
          <cell r="A209">
            <v>1039088</v>
          </cell>
          <cell r="B209" t="str">
            <v>INTERTRANSPORTES</v>
          </cell>
          <cell r="D209">
            <v>830005453</v>
          </cell>
        </row>
        <row r="210">
          <cell r="A210">
            <v>1039118</v>
          </cell>
          <cell r="B210" t="str">
            <v>INVERSIONES ABELLA &amp; CIA.</v>
          </cell>
          <cell r="D210">
            <v>860076253</v>
          </cell>
        </row>
        <row r="211">
          <cell r="A211">
            <v>1039130</v>
          </cell>
          <cell r="B211" t="str">
            <v>ISEC LTDA.</v>
          </cell>
          <cell r="D211">
            <v>860500630</v>
          </cell>
        </row>
        <row r="212">
          <cell r="A212">
            <v>1039134</v>
          </cell>
          <cell r="B212" t="str">
            <v>JAIMES LEAL HUGO</v>
          </cell>
          <cell r="D212">
            <v>5525432</v>
          </cell>
        </row>
        <row r="213">
          <cell r="A213">
            <v>1039145</v>
          </cell>
          <cell r="B213" t="str">
            <v>INMACULADA GUADALUPE Y AMIGOS EN</v>
          </cell>
          <cell r="D213">
            <v>860350253</v>
          </cell>
        </row>
        <row r="214">
          <cell r="A214">
            <v>1039149</v>
          </cell>
          <cell r="B214" t="str">
            <v>J.F.ARQUITECTURA E INTERIORES LTDA.</v>
          </cell>
          <cell r="D214">
            <v>830020274</v>
          </cell>
        </row>
        <row r="215">
          <cell r="A215">
            <v>1039170</v>
          </cell>
          <cell r="B215" t="str">
            <v>JUAN J. MARTINEZ C. &amp; CIA. LTD</v>
          </cell>
          <cell r="D215">
            <v>860000962</v>
          </cell>
        </row>
        <row r="216">
          <cell r="A216">
            <v>1039172</v>
          </cell>
          <cell r="B216" t="str">
            <v>JUAN GAVIRIA RESTREPO &amp; CIA.</v>
          </cell>
          <cell r="D216">
            <v>860517847</v>
          </cell>
        </row>
        <row r="217">
          <cell r="A217">
            <v>1039182</v>
          </cell>
          <cell r="B217" t="str">
            <v>KENWORTH DE LA MONTANA</v>
          </cell>
          <cell r="D217">
            <v>800125639</v>
          </cell>
        </row>
        <row r="218">
          <cell r="A218">
            <v>1039184</v>
          </cell>
          <cell r="B218" t="str">
            <v>KHARISMA FLORAL</v>
          </cell>
          <cell r="D218">
            <v>79145264</v>
          </cell>
        </row>
        <row r="219">
          <cell r="A219">
            <v>1039190</v>
          </cell>
          <cell r="B219" t="str">
            <v>LABORATORIO AGUALIMSU</v>
          </cell>
          <cell r="D219">
            <v>813001240</v>
          </cell>
        </row>
        <row r="220">
          <cell r="A220">
            <v>1039191</v>
          </cell>
          <cell r="B220" t="str">
            <v>LA CASA DE LOS EMPAQUES LTDA</v>
          </cell>
          <cell r="D220">
            <v>800090797</v>
          </cell>
        </row>
        <row r="221">
          <cell r="A221">
            <v>1039202</v>
          </cell>
          <cell r="B221" t="str">
            <v>LAGUNA EVELIO INTER-BOMBAS</v>
          </cell>
          <cell r="D221">
            <v>19428344</v>
          </cell>
        </row>
        <row r="222">
          <cell r="A222">
            <v>1039223</v>
          </cell>
          <cell r="B222" t="str">
            <v>LEGIS S. A.</v>
          </cell>
          <cell r="D222">
            <v>860001498</v>
          </cell>
        </row>
        <row r="223">
          <cell r="A223">
            <v>1039226</v>
          </cell>
          <cell r="B223" t="str">
            <v>LIEVANO MARIA ANGELA DE LIMPIA</v>
          </cell>
          <cell r="D223">
            <v>36149613</v>
          </cell>
        </row>
        <row r="224">
          <cell r="A224">
            <v>1039233</v>
          </cell>
          <cell r="B224" t="str">
            <v>LEON GUEVARA REINALDO</v>
          </cell>
          <cell r="D224">
            <v>96570185</v>
          </cell>
        </row>
        <row r="225">
          <cell r="A225">
            <v>1039239</v>
          </cell>
          <cell r="B225" t="str">
            <v>LEXCO S.A.</v>
          </cell>
          <cell r="D225">
            <v>860515402</v>
          </cell>
        </row>
        <row r="226">
          <cell r="A226">
            <v>1039245</v>
          </cell>
          <cell r="B226" t="str">
            <v>LINARES MAXIMILIANO</v>
          </cell>
          <cell r="D226">
            <v>3075814</v>
          </cell>
        </row>
        <row r="227">
          <cell r="A227">
            <v>1039254</v>
          </cell>
          <cell r="B227" t="str">
            <v>LLANTAS DEL ORIENTE LTDA.</v>
          </cell>
          <cell r="D227">
            <v>822001000</v>
          </cell>
        </row>
        <row r="228">
          <cell r="A228">
            <v>1039255</v>
          </cell>
          <cell r="B228" t="str">
            <v>LLANTAS ESPECIALES S.A.</v>
          </cell>
          <cell r="D228">
            <v>800085973</v>
          </cell>
        </row>
        <row r="229">
          <cell r="A229">
            <v>1039257</v>
          </cell>
          <cell r="B229" t="str">
            <v>LLANOS GARCIA EDITH</v>
          </cell>
          <cell r="D229">
            <v>30030932</v>
          </cell>
        </row>
        <row r="230">
          <cell r="A230">
            <v>1039260</v>
          </cell>
          <cell r="B230" t="str">
            <v>LOGATTO RINCON ALVARO</v>
          </cell>
          <cell r="D230">
            <v>18916692</v>
          </cell>
        </row>
        <row r="231">
          <cell r="A231">
            <v>1039267</v>
          </cell>
          <cell r="B231" t="str">
            <v>LOPEZ MONJE JAIME</v>
          </cell>
          <cell r="D231">
            <v>12107117</v>
          </cell>
        </row>
        <row r="232">
          <cell r="A232">
            <v>1039274</v>
          </cell>
          <cell r="B232" t="str">
            <v>LOPEZ RIGOBERTO</v>
          </cell>
          <cell r="D232">
            <v>91235731</v>
          </cell>
        </row>
        <row r="233">
          <cell r="A233">
            <v>1039281</v>
          </cell>
          <cell r="B233" t="str">
            <v>LOS RESTREPOS NEIVA LTDA</v>
          </cell>
          <cell r="D233">
            <v>813004629</v>
          </cell>
        </row>
        <row r="234">
          <cell r="A234">
            <v>1039283</v>
          </cell>
          <cell r="B234" t="str">
            <v>LOSADA JOSE DAIRO</v>
          </cell>
          <cell r="D234">
            <v>12107054</v>
          </cell>
        </row>
        <row r="235">
          <cell r="A235">
            <v>1039286</v>
          </cell>
          <cell r="B235" t="str">
            <v>LOZANO RICARDO</v>
          </cell>
          <cell r="D235">
            <v>5980434</v>
          </cell>
        </row>
        <row r="236">
          <cell r="A236">
            <v>1039294</v>
          </cell>
          <cell r="B236" t="str">
            <v>LUBRIFLUIDOS DE COLOMBIA S.A.</v>
          </cell>
          <cell r="D236">
            <v>805000346</v>
          </cell>
        </row>
        <row r="237">
          <cell r="A237">
            <v>1039295</v>
          </cell>
          <cell r="B237" t="str">
            <v>LUBRICANTES DEL SUR LTDA.</v>
          </cell>
          <cell r="D237">
            <v>813000898</v>
          </cell>
        </row>
        <row r="238">
          <cell r="A238">
            <v>1039296</v>
          </cell>
          <cell r="B238" t="str">
            <v>LUBRI KOTE</v>
          </cell>
          <cell r="D238">
            <v>800066548</v>
          </cell>
        </row>
        <row r="239">
          <cell r="A239">
            <v>1039309</v>
          </cell>
          <cell r="B239" t="str">
            <v>MACHINE WORK</v>
          </cell>
          <cell r="D239">
            <v>800237866</v>
          </cell>
        </row>
        <row r="240">
          <cell r="A240">
            <v>1039328</v>
          </cell>
          <cell r="B240" t="str">
            <v>MANOS BOGOTA LTDA</v>
          </cell>
          <cell r="D240">
            <v>860003911</v>
          </cell>
        </row>
        <row r="241">
          <cell r="A241">
            <v>1039331</v>
          </cell>
          <cell r="B241" t="str">
            <v>MANCHOLA FIDEL</v>
          </cell>
          <cell r="D241">
            <v>12137106</v>
          </cell>
        </row>
        <row r="242">
          <cell r="A242">
            <v>1039334</v>
          </cell>
          <cell r="B242" t="str">
            <v>MAPFRE SEGUROS GENERALES DE CO</v>
          </cell>
          <cell r="D242">
            <v>891700037</v>
          </cell>
        </row>
        <row r="243">
          <cell r="A243">
            <v>1039335</v>
          </cell>
          <cell r="B243" t="str">
            <v>MASTER QUIMICA LTDA</v>
          </cell>
          <cell r="D243">
            <v>860531097</v>
          </cell>
        </row>
        <row r="244">
          <cell r="A244">
            <v>1039364</v>
          </cell>
          <cell r="B244" t="str">
            <v>MENESES RAMIREZ Y CIA. S. EN C</v>
          </cell>
          <cell r="D244">
            <v>813002152</v>
          </cell>
        </row>
        <row r="245">
          <cell r="A245">
            <v>1039365</v>
          </cell>
          <cell r="B245" t="str">
            <v>MENDIETA JIMENEZ GUILLERMO</v>
          </cell>
          <cell r="D245">
            <v>9657998</v>
          </cell>
        </row>
        <row r="246">
          <cell r="A246">
            <v>1039366</v>
          </cell>
          <cell r="B246" t="str">
            <v>MENDEZ DEYANIRA</v>
          </cell>
          <cell r="D246">
            <v>55167608</v>
          </cell>
        </row>
        <row r="247">
          <cell r="A247">
            <v>1039379</v>
          </cell>
          <cell r="B247" t="str">
            <v>METALTEC LTDA.</v>
          </cell>
          <cell r="D247">
            <v>891100803</v>
          </cell>
        </row>
        <row r="248">
          <cell r="A248">
            <v>1039393</v>
          </cell>
          <cell r="B248" t="str">
            <v>MOGOLLON LUIS ANTONIO</v>
          </cell>
          <cell r="D248">
            <v>13495402</v>
          </cell>
        </row>
        <row r="249">
          <cell r="A249">
            <v>1039397</v>
          </cell>
          <cell r="B249" t="str">
            <v>MOLYTEC LTDA.</v>
          </cell>
          <cell r="D249">
            <v>860052489</v>
          </cell>
        </row>
        <row r="250">
          <cell r="A250">
            <v>1039400</v>
          </cell>
          <cell r="B250" t="str">
            <v>MOLINA ORLANDO-CENTRAL TORNILL</v>
          </cell>
          <cell r="D250">
            <v>10163249</v>
          </cell>
        </row>
        <row r="251">
          <cell r="A251">
            <v>1039419</v>
          </cell>
          <cell r="B251" t="str">
            <v>MONTANEZ JAVIER</v>
          </cell>
          <cell r="D251">
            <v>7226266</v>
          </cell>
        </row>
        <row r="252">
          <cell r="A252">
            <v>1039427</v>
          </cell>
          <cell r="B252" t="str">
            <v>MORA LEONIDAS LAS TRACTOMULAS</v>
          </cell>
          <cell r="D252">
            <v>12122595</v>
          </cell>
        </row>
        <row r="253">
          <cell r="A253">
            <v>1039436</v>
          </cell>
          <cell r="B253" t="str">
            <v>MORENO R.ALCIDES O FERRETERIA YOPAL</v>
          </cell>
          <cell r="D253">
            <v>28425484</v>
          </cell>
        </row>
        <row r="254">
          <cell r="A254">
            <v>1039440</v>
          </cell>
          <cell r="B254" t="str">
            <v>MORENO VARGAS RAFAEL</v>
          </cell>
          <cell r="D254">
            <v>12117482</v>
          </cell>
        </row>
        <row r="255">
          <cell r="A255">
            <v>1039445</v>
          </cell>
          <cell r="B255" t="str">
            <v>MORENO &amp; MORENO DISTRIBUCIONES LTDA</v>
          </cell>
          <cell r="D255">
            <v>860056497</v>
          </cell>
        </row>
        <row r="256">
          <cell r="A256">
            <v>1039455</v>
          </cell>
          <cell r="B256" t="str">
            <v>MORENO HERNANDEZ LUCY PATRICIA</v>
          </cell>
          <cell r="D256">
            <v>63297247</v>
          </cell>
        </row>
        <row r="257">
          <cell r="A257">
            <v>1039463</v>
          </cell>
          <cell r="B257" t="str">
            <v>MOSQUERA CELY JAIME</v>
          </cell>
          <cell r="D257">
            <v>19326592</v>
          </cell>
        </row>
        <row r="258">
          <cell r="A258">
            <v>1039471</v>
          </cell>
          <cell r="B258" t="str">
            <v>MTEL COLOMBIA S.A.</v>
          </cell>
          <cell r="D258">
            <v>800144976</v>
          </cell>
        </row>
        <row r="259">
          <cell r="A259">
            <v>1039481</v>
          </cell>
          <cell r="B259" t="str">
            <v>MULTIFOX SOFTWARE Y HARDWARE</v>
          </cell>
          <cell r="D259">
            <v>79428970</v>
          </cell>
        </row>
        <row r="260">
          <cell r="A260">
            <v>1039483</v>
          </cell>
          <cell r="B260" t="str">
            <v>MUNICIPIO DE PALERMO TESORERIA</v>
          </cell>
          <cell r="D260">
            <v>891180020</v>
          </cell>
        </row>
        <row r="261">
          <cell r="A261">
            <v>1039486</v>
          </cell>
          <cell r="B261" t="str">
            <v>TESORERIA MUNICIPAL DE YOPAL</v>
          </cell>
          <cell r="D261">
            <v>891355017</v>
          </cell>
        </row>
        <row r="262">
          <cell r="A262">
            <v>1039508</v>
          </cell>
          <cell r="B262" t="str">
            <v>MUÑOZ SANTOYO CARLOS ALBERTO</v>
          </cell>
          <cell r="D262">
            <v>6753128</v>
          </cell>
        </row>
        <row r="263">
          <cell r="A263">
            <v>1039513</v>
          </cell>
          <cell r="B263" t="str">
            <v>MURCIA OSCAR</v>
          </cell>
          <cell r="D263">
            <v>62887061</v>
          </cell>
        </row>
        <row r="264">
          <cell r="A264">
            <v>1039516</v>
          </cell>
          <cell r="B264" t="str">
            <v>MURCIA DIANA</v>
          </cell>
          <cell r="D264">
            <v>52061465</v>
          </cell>
        </row>
        <row r="265">
          <cell r="A265">
            <v>1039537</v>
          </cell>
          <cell r="B265" t="str">
            <v>ARANGO V Y CIA SCA</v>
          </cell>
          <cell r="D265">
            <v>800087385</v>
          </cell>
        </row>
        <row r="266">
          <cell r="A266">
            <v>1039545</v>
          </cell>
          <cell r="B266" t="str">
            <v>NIÑO S. SARA J.</v>
          </cell>
          <cell r="D266">
            <v>47434042</v>
          </cell>
        </row>
        <row r="267">
          <cell r="A267">
            <v>1039548</v>
          </cell>
          <cell r="B267" t="str">
            <v>CARLOS JULIO NITLOA-EMBOBINADO</v>
          </cell>
          <cell r="D267">
            <v>72152987</v>
          </cell>
        </row>
        <row r="268">
          <cell r="A268">
            <v>1039565</v>
          </cell>
          <cell r="B268" t="str">
            <v>NOTARIA 11-NAVARRO ZULMA</v>
          </cell>
          <cell r="D268">
            <v>41301949</v>
          </cell>
        </row>
        <row r="269">
          <cell r="A269">
            <v>1039568</v>
          </cell>
          <cell r="B269" t="str">
            <v>NUCLEOTRONICS LTDA.</v>
          </cell>
          <cell r="D269">
            <v>800092823</v>
          </cell>
        </row>
        <row r="270">
          <cell r="A270">
            <v>1039572</v>
          </cell>
          <cell r="B270" t="str">
            <v>OCHOA OCHOA JULIO CESAR</v>
          </cell>
          <cell r="D270">
            <v>13805420</v>
          </cell>
        </row>
        <row r="271">
          <cell r="A271">
            <v>1039574</v>
          </cell>
          <cell r="B271" t="str">
            <v>OFICIAR LTDA.</v>
          </cell>
          <cell r="D271">
            <v>830013740</v>
          </cell>
        </row>
        <row r="272">
          <cell r="A272">
            <v>1039585</v>
          </cell>
          <cell r="B272" t="str">
            <v>OLIVEROS LUIS ALFONSO</v>
          </cell>
          <cell r="D272">
            <v>7687979</v>
          </cell>
        </row>
        <row r="273">
          <cell r="A273">
            <v>1039590</v>
          </cell>
          <cell r="B273" t="str">
            <v>ORDONEZ ROSALBA</v>
          </cell>
          <cell r="D273">
            <v>41303890</v>
          </cell>
        </row>
        <row r="274">
          <cell r="A274">
            <v>1039594</v>
          </cell>
          <cell r="B274" t="str">
            <v>ORJUELA RAFAEL</v>
          </cell>
          <cell r="D274">
            <v>19142556</v>
          </cell>
        </row>
        <row r="275">
          <cell r="A275">
            <v>1039603</v>
          </cell>
          <cell r="B275" t="str">
            <v>ORTEGA ANGULO EDINSON JAHIR</v>
          </cell>
          <cell r="D275">
            <v>13507332</v>
          </cell>
        </row>
        <row r="276">
          <cell r="A276">
            <v>1039606</v>
          </cell>
          <cell r="B276" t="str">
            <v>OSORIO PERDOMO JAIRO CENTO DIE</v>
          </cell>
          <cell r="D276">
            <v>12122086</v>
          </cell>
        </row>
        <row r="277">
          <cell r="A277">
            <v>1039611</v>
          </cell>
          <cell r="B277" t="str">
            <v>OTALORA ANA YONNY</v>
          </cell>
          <cell r="D277">
            <v>47427502</v>
          </cell>
        </row>
        <row r="278">
          <cell r="A278">
            <v>1039620</v>
          </cell>
          <cell r="B278" t="str">
            <v>PACHON LUIS - ENMARCANDO</v>
          </cell>
          <cell r="D278">
            <v>17154521</v>
          </cell>
        </row>
        <row r="279">
          <cell r="A279">
            <v>1039633</v>
          </cell>
          <cell r="B279" t="str">
            <v>PANTOJA ROMEL</v>
          </cell>
          <cell r="D279">
            <v>19480711</v>
          </cell>
        </row>
        <row r="280">
          <cell r="A280">
            <v>1039652</v>
          </cell>
          <cell r="B280" t="str">
            <v>PARKO SERVICES S.A.</v>
          </cell>
          <cell r="D280">
            <v>860052872</v>
          </cell>
        </row>
        <row r="281">
          <cell r="A281">
            <v>1039656</v>
          </cell>
          <cell r="B281" t="str">
            <v>PARKO SERVICES S.A.</v>
          </cell>
          <cell r="D281">
            <v>860052872</v>
          </cell>
        </row>
        <row r="282">
          <cell r="A282">
            <v>1039668</v>
          </cell>
          <cell r="B282" t="str">
            <v>PATINO MILLAN CARLOS ARTURO</v>
          </cell>
          <cell r="D282">
            <v>9657853</v>
          </cell>
        </row>
        <row r="283">
          <cell r="A283">
            <v>1039671</v>
          </cell>
          <cell r="B283" t="str">
            <v>PEDROZA CARLOS</v>
          </cell>
          <cell r="D283">
            <v>80369013</v>
          </cell>
        </row>
        <row r="284">
          <cell r="A284">
            <v>1039674</v>
          </cell>
          <cell r="B284" t="str">
            <v>PELAEZ HERMANOS S.A.</v>
          </cell>
          <cell r="D284">
            <v>890101138</v>
          </cell>
        </row>
        <row r="285">
          <cell r="A285">
            <v>1039685</v>
          </cell>
          <cell r="B285" t="str">
            <v>PENSIONAR S.A.</v>
          </cell>
          <cell r="D285">
            <v>800253055</v>
          </cell>
        </row>
        <row r="286">
          <cell r="A286">
            <v>1039698</v>
          </cell>
          <cell r="B286" t="str">
            <v>ZORAYDA LINEY PEREZ -PAPELERIA</v>
          </cell>
          <cell r="D286">
            <v>23740441</v>
          </cell>
        </row>
        <row r="287">
          <cell r="A287">
            <v>1039700</v>
          </cell>
          <cell r="B287" t="str">
            <v>PEREZ DIAZ ARISTIPO O FERRETERIA LA</v>
          </cell>
          <cell r="D287">
            <v>1151990</v>
          </cell>
        </row>
        <row r="288">
          <cell r="A288">
            <v>1039722</v>
          </cell>
          <cell r="B288" t="str">
            <v>PEREZ VARGAS PEDRO JOSE</v>
          </cell>
          <cell r="D288">
            <v>95206264</v>
          </cell>
        </row>
        <row r="289">
          <cell r="A289">
            <v>1039729</v>
          </cell>
          <cell r="B289" t="str">
            <v>PETROTESTING COLOMBIA S. A.</v>
          </cell>
          <cell r="D289">
            <v>860352419</v>
          </cell>
        </row>
        <row r="290">
          <cell r="A290">
            <v>1039731</v>
          </cell>
          <cell r="B290" t="str">
            <v>PETROCO LTDA</v>
          </cell>
          <cell r="D290">
            <v>800203791</v>
          </cell>
        </row>
        <row r="291">
          <cell r="A291">
            <v>1039734</v>
          </cell>
          <cell r="B291" t="str">
            <v>PETROCASINOS LTDA.</v>
          </cell>
          <cell r="D291">
            <v>800119647</v>
          </cell>
        </row>
        <row r="292">
          <cell r="A292">
            <v>1039740</v>
          </cell>
          <cell r="B292" t="str">
            <v>PINZUAR LTDA.</v>
          </cell>
          <cell r="D292">
            <v>800006900</v>
          </cell>
        </row>
        <row r="293">
          <cell r="A293">
            <v>1039743</v>
          </cell>
          <cell r="B293" t="str">
            <v>PINILLA MARIA MELIDA</v>
          </cell>
          <cell r="D293">
            <v>35486440</v>
          </cell>
        </row>
        <row r="294">
          <cell r="A294">
            <v>1039744</v>
          </cell>
          <cell r="B294" t="str">
            <v>PINO ALBERTO</v>
          </cell>
          <cell r="D294">
            <v>12115613</v>
          </cell>
        </row>
        <row r="295">
          <cell r="A295">
            <v>1039756</v>
          </cell>
          <cell r="B295" t="str">
            <v>PLATA G. MYRIAM</v>
          </cell>
          <cell r="D295">
            <v>41360904</v>
          </cell>
        </row>
        <row r="296">
          <cell r="A296">
            <v>1039772</v>
          </cell>
          <cell r="B296" t="str">
            <v>ZZZPRAXIS LABORATORIO</v>
          </cell>
          <cell r="D296">
            <v>800110627</v>
          </cell>
        </row>
        <row r="297">
          <cell r="A297">
            <v>1039776</v>
          </cell>
          <cell r="B297" t="str">
            <v>PRICE WATERHOUSE ASESORES GERE</v>
          </cell>
          <cell r="D297">
            <v>860046645</v>
          </cell>
        </row>
        <row r="298">
          <cell r="A298">
            <v>1039788</v>
          </cell>
          <cell r="B298" t="str">
            <v>PROTECCION S.A.</v>
          </cell>
          <cell r="D298">
            <v>800229739</v>
          </cell>
        </row>
        <row r="299">
          <cell r="A299">
            <v>1039789</v>
          </cell>
          <cell r="B299" t="str">
            <v>PRO'IN LTDA</v>
          </cell>
          <cell r="D299">
            <v>813000052</v>
          </cell>
        </row>
        <row r="300">
          <cell r="A300">
            <v>1039796</v>
          </cell>
          <cell r="B300" t="str">
            <v>PRODUCTOS DE CAUCHO Y LONA</v>
          </cell>
          <cell r="D300">
            <v>890328485</v>
          </cell>
        </row>
        <row r="301">
          <cell r="A301">
            <v>1039798</v>
          </cell>
          <cell r="B301" t="str">
            <v>PUBLICIDADES LTDA</v>
          </cell>
          <cell r="D301">
            <v>860078596</v>
          </cell>
        </row>
        <row r="302">
          <cell r="A302">
            <v>1039808</v>
          </cell>
          <cell r="B302" t="str">
            <v>QUIMICA COMERCIAL ANDINA S.A.</v>
          </cell>
          <cell r="D302">
            <v>860039444</v>
          </cell>
        </row>
        <row r="303">
          <cell r="A303">
            <v>1039822</v>
          </cell>
          <cell r="B303" t="str">
            <v>RAISBECK LARA RODRIGUEZ &amp; RUED</v>
          </cell>
          <cell r="D303">
            <v>860068840</v>
          </cell>
        </row>
        <row r="304">
          <cell r="A304">
            <v>1039823</v>
          </cell>
          <cell r="B304" t="str">
            <v>RAMIREZ ALONSO JESUS MARIA</v>
          </cell>
          <cell r="D304">
            <v>12091991</v>
          </cell>
        </row>
        <row r="305">
          <cell r="A305">
            <v>1039826</v>
          </cell>
          <cell r="B305" t="str">
            <v>RAMIREZ CEDENO LUIS EDUARDO</v>
          </cell>
          <cell r="D305">
            <v>12123968</v>
          </cell>
        </row>
        <row r="306">
          <cell r="A306">
            <v>1039828</v>
          </cell>
          <cell r="B306" t="str">
            <v>RAMIREZ MIGUEL IGNACIO-TASERVI</v>
          </cell>
          <cell r="D306">
            <v>19302045</v>
          </cell>
        </row>
        <row r="307">
          <cell r="A307">
            <v>1039841</v>
          </cell>
          <cell r="B307" t="str">
            <v>RAMIREZ ISAAC ALARMAIRES DEL H</v>
          </cell>
          <cell r="D307">
            <v>76847197</v>
          </cell>
        </row>
        <row r="308">
          <cell r="A308">
            <v>1039845</v>
          </cell>
          <cell r="B308" t="str">
            <v>RANDY SMITH COLOMBIA LTDA.</v>
          </cell>
          <cell r="D308">
            <v>830017100</v>
          </cell>
        </row>
        <row r="309">
          <cell r="A309">
            <v>1039851</v>
          </cell>
          <cell r="B309" t="str">
            <v>REINDUSTRIAS-Hernando Artunduaga P.</v>
          </cell>
          <cell r="D309">
            <v>891100219</v>
          </cell>
        </row>
        <row r="310">
          <cell r="A310">
            <v>1039856</v>
          </cell>
          <cell r="B310" t="str">
            <v>REPUESTOS Y RODAMIENTOS RW LTDA</v>
          </cell>
          <cell r="D310">
            <v>800061195</v>
          </cell>
        </row>
        <row r="311">
          <cell r="A311">
            <v>1039857</v>
          </cell>
          <cell r="B311" t="str">
            <v>REPRESENTACIONES GONZALEZ CASTILLO</v>
          </cell>
          <cell r="D311">
            <v>844000128</v>
          </cell>
        </row>
        <row r="312">
          <cell r="A312">
            <v>1039865</v>
          </cell>
          <cell r="B312" t="str">
            <v>RESTAURANTE PAJARES SALINAS</v>
          </cell>
          <cell r="D312">
            <v>860050173</v>
          </cell>
        </row>
        <row r="313">
          <cell r="A313">
            <v>1039896</v>
          </cell>
          <cell r="B313" t="str">
            <v>REYES HERNANDEZ LUIS ISMAEL</v>
          </cell>
          <cell r="D313">
            <v>12714463</v>
          </cell>
        </row>
        <row r="314">
          <cell r="A314">
            <v>1039899</v>
          </cell>
          <cell r="B314" t="str">
            <v>ZZZR.I.D. INSTRUMENTACION LTDA.</v>
          </cell>
          <cell r="D314">
            <v>830028456</v>
          </cell>
        </row>
        <row r="315">
          <cell r="A315">
            <v>1039900</v>
          </cell>
          <cell r="B315" t="str">
            <v>RID INSTRUMENTACION LTDA</v>
          </cell>
          <cell r="D315">
            <v>830028456</v>
          </cell>
        </row>
        <row r="316">
          <cell r="A316">
            <v>1039903</v>
          </cell>
          <cell r="B316" t="str">
            <v>RIG ASOCIADOS LTDA</v>
          </cell>
          <cell r="D316">
            <v>860529765</v>
          </cell>
        </row>
        <row r="317">
          <cell r="A317">
            <v>1039906</v>
          </cell>
          <cell r="B317" t="str">
            <v>RINCON M. JORGE E.</v>
          </cell>
          <cell r="D317">
            <v>4156634</v>
          </cell>
        </row>
        <row r="318">
          <cell r="A318">
            <v>1039907</v>
          </cell>
          <cell r="B318" t="str">
            <v>RINCON BASTIDAS SONIA DEL CARMEN</v>
          </cell>
          <cell r="D318">
            <v>23588250</v>
          </cell>
        </row>
        <row r="319">
          <cell r="A319">
            <v>1039920</v>
          </cell>
          <cell r="B319" t="str">
            <v>RIVERA ROCHA HECTOR</v>
          </cell>
          <cell r="D319">
            <v>12131557</v>
          </cell>
        </row>
        <row r="320">
          <cell r="A320">
            <v>1039928</v>
          </cell>
          <cell r="B320" t="str">
            <v>ROCHA Y LONDOÑO LTDA</v>
          </cell>
          <cell r="D320">
            <v>860527857</v>
          </cell>
        </row>
        <row r="321">
          <cell r="A321">
            <v>1039932</v>
          </cell>
          <cell r="B321" t="str">
            <v>RODRIGUEZ JOSE MANUEL SERVICOP</v>
          </cell>
          <cell r="D321">
            <v>12116353</v>
          </cell>
        </row>
        <row r="322">
          <cell r="A322">
            <v>1039933</v>
          </cell>
          <cell r="B322" t="str">
            <v>RODRIGUEZ JORGE - REST.AVENIDA</v>
          </cell>
          <cell r="D322">
            <v>19250192</v>
          </cell>
        </row>
        <row r="323">
          <cell r="A323">
            <v>1039934</v>
          </cell>
          <cell r="B323" t="str">
            <v>GUSTAVO RODRIGUEZ-LLAVES LA SE</v>
          </cell>
          <cell r="D323">
            <v>12115995</v>
          </cell>
        </row>
        <row r="324">
          <cell r="A324">
            <v>1039943</v>
          </cell>
          <cell r="B324" t="str">
            <v>RODRIGUEZ LULIO</v>
          </cell>
          <cell r="D324">
            <v>19064700</v>
          </cell>
        </row>
        <row r="325">
          <cell r="A325">
            <v>1039950</v>
          </cell>
          <cell r="B325" t="str">
            <v>RODRIGUEZ LOZADA ALBERTO</v>
          </cell>
          <cell r="D325">
            <v>12123383</v>
          </cell>
        </row>
        <row r="326">
          <cell r="A326">
            <v>1040009</v>
          </cell>
          <cell r="B326" t="str">
            <v>RUIZ DE PERILLA LUCRESIA</v>
          </cell>
          <cell r="D326">
            <v>23466159</v>
          </cell>
        </row>
        <row r="327">
          <cell r="A327">
            <v>1040010</v>
          </cell>
          <cell r="B327" t="str">
            <v>RUIZ RIAÑO ISRAEL</v>
          </cell>
          <cell r="D327">
            <v>9652232</v>
          </cell>
        </row>
        <row r="328">
          <cell r="A328">
            <v>1040012</v>
          </cell>
          <cell r="B328" t="str">
            <v>RUIZ PULIDO ELVER</v>
          </cell>
          <cell r="D328">
            <v>12117309</v>
          </cell>
        </row>
        <row r="329">
          <cell r="A329">
            <v>1040015</v>
          </cell>
          <cell r="B329" t="str">
            <v>S&amp;S SISTEMAS LTDA.</v>
          </cell>
          <cell r="D329">
            <v>800060048</v>
          </cell>
        </row>
        <row r="330">
          <cell r="A330">
            <v>1040016</v>
          </cell>
          <cell r="B330" t="str">
            <v>SAAVEDRA SABAS</v>
          </cell>
          <cell r="D330">
            <v>12090500</v>
          </cell>
        </row>
        <row r="331">
          <cell r="A331">
            <v>1040019</v>
          </cell>
          <cell r="B331" t="str">
            <v>SAETA</v>
          </cell>
          <cell r="D331">
            <v>860520782</v>
          </cell>
        </row>
        <row r="332">
          <cell r="A332">
            <v>1040023</v>
          </cell>
          <cell r="B332" t="str">
            <v>SALUD COLMENA MED.PREPAGADA SA</v>
          </cell>
          <cell r="D332">
            <v>800106339</v>
          </cell>
        </row>
        <row r="333">
          <cell r="A333">
            <v>1040029</v>
          </cell>
          <cell r="B333" t="str">
            <v>SALCEDO LUIS EMILIO</v>
          </cell>
          <cell r="D333">
            <v>11786220</v>
          </cell>
        </row>
        <row r="334">
          <cell r="A334">
            <v>1040031</v>
          </cell>
          <cell r="B334" t="str">
            <v>SALUD COOP</v>
          </cell>
          <cell r="D334">
            <v>800250119</v>
          </cell>
        </row>
        <row r="335">
          <cell r="A335">
            <v>1040039</v>
          </cell>
          <cell r="B335" t="str">
            <v>SALUD TOTAL</v>
          </cell>
          <cell r="D335">
            <v>800130907</v>
          </cell>
        </row>
        <row r="336">
          <cell r="A336">
            <v>1040040</v>
          </cell>
          <cell r="B336" t="str">
            <v>SALUD COLPATRIA</v>
          </cell>
          <cell r="D336">
            <v>860512237</v>
          </cell>
        </row>
        <row r="337">
          <cell r="A337">
            <v>1040078</v>
          </cell>
          <cell r="B337" t="str">
            <v>SATENA O AEROVIAJES DEL CASANARE</v>
          </cell>
          <cell r="D337">
            <v>899999143</v>
          </cell>
        </row>
        <row r="338">
          <cell r="A338">
            <v>1040082</v>
          </cell>
          <cell r="B338" t="str">
            <v>SC RENTAMUEBLES EU</v>
          </cell>
          <cell r="D338">
            <v>830030694</v>
          </cell>
        </row>
        <row r="339">
          <cell r="A339">
            <v>1040086</v>
          </cell>
          <cell r="B339" t="str">
            <v>SEGURIDAD ATALAYA &amp; CIA LTDA</v>
          </cell>
          <cell r="D339">
            <v>860035200</v>
          </cell>
        </row>
        <row r="340">
          <cell r="A340">
            <v>1040087</v>
          </cell>
          <cell r="B340" t="str">
            <v>SEGURIDAD BURNS DE COLOMBIA S.</v>
          </cell>
          <cell r="D340">
            <v>860023264</v>
          </cell>
        </row>
        <row r="341">
          <cell r="A341">
            <v>1040088</v>
          </cell>
          <cell r="B341" t="str">
            <v>SEGURIDAD INDUSTRIAL LTDA</v>
          </cell>
          <cell r="D341">
            <v>800149131</v>
          </cell>
        </row>
        <row r="342">
          <cell r="A342">
            <v>1040092</v>
          </cell>
          <cell r="B342" t="str">
            <v>SEGUROS DEL ESTADO S.A.</v>
          </cell>
          <cell r="D342">
            <v>860009578</v>
          </cell>
        </row>
        <row r="343">
          <cell r="A343">
            <v>1040102</v>
          </cell>
          <cell r="B343" t="str">
            <v>SERPET JR LTDA</v>
          </cell>
          <cell r="D343">
            <v>800001845</v>
          </cell>
        </row>
        <row r="344">
          <cell r="A344">
            <v>1040103</v>
          </cell>
          <cell r="B344" t="str">
            <v>SERVICLUBES LTDA</v>
          </cell>
          <cell r="D344">
            <v>800146397</v>
          </cell>
        </row>
        <row r="345">
          <cell r="A345">
            <v>1040114</v>
          </cell>
          <cell r="B345" t="str">
            <v>SERVI REPUESTOS DEL OCCIDENTE</v>
          </cell>
          <cell r="D345">
            <v>800014499</v>
          </cell>
        </row>
        <row r="346">
          <cell r="A346">
            <v>1040117</v>
          </cell>
          <cell r="B346" t="str">
            <v>SERVICOMBUSTIBLES AEREOS DEL</v>
          </cell>
          <cell r="D346">
            <v>800177258</v>
          </cell>
        </row>
        <row r="347">
          <cell r="A347">
            <v>1040125</v>
          </cell>
          <cell r="B347" t="str">
            <v>SERVICIOS Y SUMINISTROS ESPEC.</v>
          </cell>
          <cell r="D347">
            <v>860350521</v>
          </cell>
        </row>
        <row r="348">
          <cell r="A348">
            <v>1040128</v>
          </cell>
          <cell r="B348" t="str">
            <v>SERVIREPUESTOS DEL OCCIDENTE</v>
          </cell>
          <cell r="D348">
            <v>800014499</v>
          </cell>
        </row>
        <row r="349">
          <cell r="A349">
            <v>1040146</v>
          </cell>
          <cell r="B349" t="str">
            <v>SIERRA EDIGIO -MUEBLERIA GALAXIA</v>
          </cell>
          <cell r="D349">
            <v>19178911</v>
          </cell>
        </row>
        <row r="350">
          <cell r="A350">
            <v>1040151</v>
          </cell>
          <cell r="B350" t="str">
            <v>SILVA GILBERTO</v>
          </cell>
          <cell r="D350">
            <v>19180168</v>
          </cell>
        </row>
        <row r="351">
          <cell r="A351">
            <v>1040153</v>
          </cell>
          <cell r="B351" t="str">
            <v>SILVA GRANADOS ROBERTO O</v>
          </cell>
          <cell r="D351">
            <v>9532002</v>
          </cell>
        </row>
        <row r="352">
          <cell r="A352">
            <v>1040158</v>
          </cell>
          <cell r="B352" t="str">
            <v>SILVA JORGE HUMBERTO</v>
          </cell>
          <cell r="D352">
            <v>12129377</v>
          </cell>
        </row>
        <row r="353">
          <cell r="A353">
            <v>1040169</v>
          </cell>
          <cell r="B353" t="str">
            <v>FIDUCIARIA SKANDIA</v>
          </cell>
          <cell r="D353">
            <v>860002504</v>
          </cell>
        </row>
        <row r="354">
          <cell r="A354">
            <v>1040172</v>
          </cell>
          <cell r="B354" t="str">
            <v>SMITH INTRNATIONAL SOUTH AMERI</v>
          </cell>
          <cell r="D354">
            <v>860505813</v>
          </cell>
        </row>
        <row r="355">
          <cell r="A355">
            <v>1040174</v>
          </cell>
          <cell r="B355" t="str">
            <v>ZZZSMITH INTERNATIONAL SOUTH AMER</v>
          </cell>
          <cell r="D355">
            <v>860505813</v>
          </cell>
        </row>
        <row r="356">
          <cell r="A356">
            <v>1040176</v>
          </cell>
          <cell r="B356" t="str">
            <v>SOC. TURISTICA DE GIRARDOT</v>
          </cell>
          <cell r="D356">
            <v>890600394</v>
          </cell>
        </row>
        <row r="357">
          <cell r="A357">
            <v>1040182</v>
          </cell>
          <cell r="B357" t="str">
            <v>SODEXHO PASS DE COLOMBIA S.A.</v>
          </cell>
          <cell r="D357">
            <v>800219876</v>
          </cell>
        </row>
        <row r="358">
          <cell r="A358">
            <v>1040192</v>
          </cell>
          <cell r="B358" t="str">
            <v>SOLANO ALVARO</v>
          </cell>
          <cell r="D358">
            <v>19414013</v>
          </cell>
        </row>
        <row r="359">
          <cell r="A359">
            <v>1040201</v>
          </cell>
          <cell r="B359" t="str">
            <v>ZZZSTEWART Y STEVENSON DE LAS AME</v>
          </cell>
          <cell r="D359">
            <v>830033457</v>
          </cell>
        </row>
        <row r="360">
          <cell r="A360">
            <v>1040203</v>
          </cell>
          <cell r="B360" t="str">
            <v>STEWART &amp; STEVENSON DE LAS AME</v>
          </cell>
          <cell r="D360">
            <v>830033457</v>
          </cell>
        </row>
        <row r="361">
          <cell r="A361">
            <v>1040207</v>
          </cell>
          <cell r="B361" t="str">
            <v>SUAREZ BALTAZAR</v>
          </cell>
          <cell r="D361">
            <v>83086749</v>
          </cell>
        </row>
        <row r="362">
          <cell r="A362">
            <v>1040210</v>
          </cell>
          <cell r="B362" t="str">
            <v>SUAREZ DE SERRATO RESURECCION</v>
          </cell>
          <cell r="D362">
            <v>26412841</v>
          </cell>
        </row>
        <row r="363">
          <cell r="A363">
            <v>1040225</v>
          </cell>
          <cell r="B363" t="str">
            <v>SUPISCINA LTDA.</v>
          </cell>
          <cell r="D363">
            <v>800251382</v>
          </cell>
        </row>
        <row r="364">
          <cell r="A364">
            <v>1040226</v>
          </cell>
          <cell r="B364" t="str">
            <v>SURTI-ELECTRICOS LTDA.</v>
          </cell>
          <cell r="D364">
            <v>891102691</v>
          </cell>
        </row>
        <row r="365">
          <cell r="A365">
            <v>1040231</v>
          </cell>
          <cell r="B365" t="str">
            <v>SURTITRACTOMULAS</v>
          </cell>
          <cell r="D365">
            <v>800040201</v>
          </cell>
        </row>
        <row r="366">
          <cell r="A366">
            <v>1040237</v>
          </cell>
          <cell r="B366" t="str">
            <v>SUSALUD  E.P.S.</v>
          </cell>
          <cell r="D366">
            <v>800088702</v>
          </cell>
        </row>
        <row r="367">
          <cell r="A367">
            <v>1040240</v>
          </cell>
          <cell r="B367" t="str">
            <v>SYNTOIL DE COLOMBIA</v>
          </cell>
          <cell r="D367">
            <v>830001122</v>
          </cell>
        </row>
        <row r="368">
          <cell r="A368">
            <v>1040245</v>
          </cell>
          <cell r="B368" t="str">
            <v>TALLER TORNI TRON</v>
          </cell>
          <cell r="D368">
            <v>860196372</v>
          </cell>
        </row>
        <row r="369">
          <cell r="A369">
            <v>1040269</v>
          </cell>
          <cell r="B369" t="str">
            <v>ZZZTECNIAVANCE BROWN &amp; ROOT S.A.</v>
          </cell>
          <cell r="D369">
            <v>830034498</v>
          </cell>
        </row>
        <row r="370">
          <cell r="A370">
            <v>1040271</v>
          </cell>
          <cell r="B370" t="str">
            <v>TECNIAVANCE BROWN &amp; ROOT S.A.</v>
          </cell>
          <cell r="D370">
            <v>830034498</v>
          </cell>
        </row>
        <row r="371">
          <cell r="A371">
            <v>1040274</v>
          </cell>
          <cell r="B371" t="str">
            <v>TECNICONTROL LTDA.</v>
          </cell>
          <cell r="D371">
            <v>860035996</v>
          </cell>
        </row>
        <row r="372">
          <cell r="A372">
            <v>1040278</v>
          </cell>
          <cell r="B372" t="str">
            <v>ZZZT E L E C O M - CAPITEL</v>
          </cell>
          <cell r="D372">
            <v>899999023</v>
          </cell>
        </row>
        <row r="373">
          <cell r="A373">
            <v>1040281</v>
          </cell>
          <cell r="B373" t="str">
            <v>T E L E C O M</v>
          </cell>
          <cell r="D373">
            <v>899999023</v>
          </cell>
        </row>
        <row r="374">
          <cell r="A374">
            <v>1040286</v>
          </cell>
          <cell r="B374" t="str">
            <v>TERPEL SUR S. A.</v>
          </cell>
          <cell r="D374">
            <v>891102877</v>
          </cell>
        </row>
        <row r="375">
          <cell r="A375">
            <v>1040287</v>
          </cell>
          <cell r="B375" t="str">
            <v>TERPEL BUCARAMANGA SA</v>
          </cell>
          <cell r="C375" t="str">
            <v>NIT 890 201 674 6</v>
          </cell>
          <cell r="D375">
            <v>890201674</v>
          </cell>
        </row>
        <row r="376">
          <cell r="A376">
            <v>1040288</v>
          </cell>
          <cell r="B376" t="str">
            <v>ZZZTERSORERIA MUNICIPAL DE GIGANT</v>
          </cell>
          <cell r="D376">
            <v>891180176</v>
          </cell>
        </row>
        <row r="377">
          <cell r="A377">
            <v>1040289</v>
          </cell>
          <cell r="B377" t="str">
            <v>TERMO VALVULAS LTDA.</v>
          </cell>
          <cell r="D377">
            <v>860528203</v>
          </cell>
        </row>
        <row r="378">
          <cell r="A378">
            <v>1040291</v>
          </cell>
          <cell r="B378" t="str">
            <v>TESORERIA MUNICIPAL DE PALERMO</v>
          </cell>
          <cell r="D378">
            <v>891180021</v>
          </cell>
        </row>
        <row r="379">
          <cell r="A379">
            <v>1040292</v>
          </cell>
          <cell r="B379" t="str">
            <v>TESORERIA MUNICIPAL DE AIPE (</v>
          </cell>
          <cell r="D379">
            <v>891180070</v>
          </cell>
        </row>
        <row r="380">
          <cell r="A380">
            <v>1040294</v>
          </cell>
          <cell r="B380" t="str">
            <v>TESORERIA MUNICIPAL DE YAGUARA</v>
          </cell>
          <cell r="D380">
            <v>800097180</v>
          </cell>
        </row>
        <row r="381">
          <cell r="A381">
            <v>1040310</v>
          </cell>
          <cell r="B381" t="str">
            <v>TESORERIA MUNICIPAL DE AGUAZUL</v>
          </cell>
          <cell r="D381">
            <v>891856271</v>
          </cell>
        </row>
        <row r="382">
          <cell r="A382">
            <v>1040317</v>
          </cell>
          <cell r="B382" t="str">
            <v>TESORERIA MUNICIPAL DE NEIVA</v>
          </cell>
          <cell r="D382">
            <v>891180009</v>
          </cell>
        </row>
        <row r="383">
          <cell r="A383">
            <v>1040320</v>
          </cell>
          <cell r="B383" t="str">
            <v>TESORERIA MPAL.DE PURIFICACION</v>
          </cell>
          <cell r="D383">
            <v>870000027</v>
          </cell>
        </row>
        <row r="384">
          <cell r="A384">
            <v>1040328</v>
          </cell>
          <cell r="B384" t="str">
            <v>TESORERIA MPAL. DE TAURAMENA</v>
          </cell>
          <cell r="D384">
            <v>800012873</v>
          </cell>
        </row>
        <row r="385">
          <cell r="A385">
            <v>1040329</v>
          </cell>
          <cell r="B385" t="str">
            <v>TESORERIA MUNICIPAL DE MANI</v>
          </cell>
          <cell r="D385">
            <v>800008456</v>
          </cell>
        </row>
        <row r="386">
          <cell r="A386">
            <v>1040344</v>
          </cell>
          <cell r="B386" t="str">
            <v>TIBOCHA JULIAO LEONOR</v>
          </cell>
          <cell r="D386">
            <v>44444444</v>
          </cell>
        </row>
        <row r="387">
          <cell r="A387">
            <v>1040349</v>
          </cell>
          <cell r="B387" t="str">
            <v>TIMOLEON GARZON Y CIA S EN C</v>
          </cell>
          <cell r="D387">
            <v>860072802</v>
          </cell>
        </row>
        <row r="388">
          <cell r="A388">
            <v>1040362</v>
          </cell>
          <cell r="B388" t="str">
            <v>TORRENTE JORGE E.  ALMACEN Y PAPELE</v>
          </cell>
          <cell r="D388">
            <v>12094697</v>
          </cell>
        </row>
        <row r="389">
          <cell r="A389">
            <v>1040373</v>
          </cell>
          <cell r="B389" t="str">
            <v>TORRES FILEMON</v>
          </cell>
          <cell r="D389">
            <v>600008644</v>
          </cell>
        </row>
        <row r="390">
          <cell r="A390">
            <v>1040390</v>
          </cell>
          <cell r="B390" t="str">
            <v>TORRES FIALLO ALVARO</v>
          </cell>
          <cell r="D390">
            <v>13826041</v>
          </cell>
        </row>
        <row r="391">
          <cell r="A391">
            <v>1040406</v>
          </cell>
          <cell r="B391" t="str">
            <v>TRABAJOS TEMPORALES LTDA.</v>
          </cell>
          <cell r="D391">
            <v>800116129</v>
          </cell>
        </row>
        <row r="392">
          <cell r="A392">
            <v>1040410</v>
          </cell>
          <cell r="B392" t="str">
            <v>TRASEGAR LTDA</v>
          </cell>
          <cell r="D392">
            <v>800172301</v>
          </cell>
        </row>
        <row r="393">
          <cell r="A393">
            <v>1040413</v>
          </cell>
          <cell r="B393" t="str">
            <v>TRANSMARINAS LTDA.</v>
          </cell>
          <cell r="D393">
            <v>800224564</v>
          </cell>
        </row>
        <row r="394">
          <cell r="A394">
            <v>1040414</v>
          </cell>
          <cell r="B394" t="str">
            <v>TRANSCONTINENTAL DE SERVICIOS</v>
          </cell>
          <cell r="D394">
            <v>860504726</v>
          </cell>
        </row>
        <row r="395">
          <cell r="A395">
            <v>1040430</v>
          </cell>
          <cell r="B395" t="str">
            <v>TRUJILLO ANDRES MAURICIO</v>
          </cell>
          <cell r="D395">
            <v>7702793</v>
          </cell>
        </row>
        <row r="396">
          <cell r="A396">
            <v>1040436</v>
          </cell>
          <cell r="B396" t="str">
            <v>T.S.P. O TRANSPORTES Y SUMINISTROS</v>
          </cell>
          <cell r="D396">
            <v>800180861</v>
          </cell>
        </row>
        <row r="397">
          <cell r="A397">
            <v>1040454</v>
          </cell>
          <cell r="B397" t="str">
            <v>UNIVERSIDAD IND.DE SANTANDER</v>
          </cell>
          <cell r="D397">
            <v>890201213</v>
          </cell>
        </row>
        <row r="398">
          <cell r="A398">
            <v>1040456</v>
          </cell>
          <cell r="B398" t="str">
            <v>UNIMEC S.A.</v>
          </cell>
          <cell r="D398">
            <v>800140680</v>
          </cell>
        </row>
        <row r="399">
          <cell r="A399">
            <v>1040459</v>
          </cell>
          <cell r="B399" t="str">
            <v>UNIVERSAL TUBULAR TECHNOLOGY</v>
          </cell>
          <cell r="D399">
            <v>830043777</v>
          </cell>
        </row>
        <row r="400">
          <cell r="A400">
            <v>1040475</v>
          </cell>
          <cell r="B400" t="str">
            <v>VALDERRAMA SAUL</v>
          </cell>
          <cell r="D400">
            <v>7241252</v>
          </cell>
        </row>
        <row r="401">
          <cell r="A401">
            <v>1040479</v>
          </cell>
          <cell r="B401" t="str">
            <v>VARGAS MARIO-FERRETERIA VARMA</v>
          </cell>
          <cell r="D401">
            <v>19298171</v>
          </cell>
        </row>
        <row r="402">
          <cell r="A402">
            <v>1040480</v>
          </cell>
          <cell r="B402" t="str">
            <v>VARGAS BARRERA LUIS JAIME</v>
          </cell>
          <cell r="D402">
            <v>1156748</v>
          </cell>
        </row>
        <row r="403">
          <cell r="A403">
            <v>1040481</v>
          </cell>
          <cell r="B403" t="str">
            <v>VARGAS ALMARIO EDUSMILDO</v>
          </cell>
          <cell r="D403">
            <v>12118932</v>
          </cell>
        </row>
        <row r="404">
          <cell r="A404">
            <v>1040482</v>
          </cell>
          <cell r="B404" t="str">
            <v>VARGAS MARIO - FERRETERIA VARMA</v>
          </cell>
          <cell r="D404">
            <v>19298171</v>
          </cell>
        </row>
        <row r="405">
          <cell r="A405">
            <v>1040489</v>
          </cell>
          <cell r="B405" t="str">
            <v>VARGAS ANA CECILIA</v>
          </cell>
          <cell r="D405">
            <v>36146122</v>
          </cell>
        </row>
        <row r="406">
          <cell r="A406">
            <v>1040494</v>
          </cell>
          <cell r="B406" t="str">
            <v>VASQUEZ FELIX MARIA</v>
          </cell>
          <cell r="D406">
            <v>12105495</v>
          </cell>
        </row>
        <row r="407">
          <cell r="A407">
            <v>1040502</v>
          </cell>
          <cell r="B407" t="str">
            <v>VELANDIA CARLOS</v>
          </cell>
          <cell r="D407">
            <v>19093724</v>
          </cell>
        </row>
        <row r="408">
          <cell r="A408">
            <v>1040504</v>
          </cell>
          <cell r="B408" t="str">
            <v>VELCO LTDA.</v>
          </cell>
          <cell r="D408">
            <v>813000623</v>
          </cell>
        </row>
        <row r="409">
          <cell r="A409">
            <v>1040540</v>
          </cell>
          <cell r="B409" t="str">
            <v>WEATHERFORD COLOMBIA LIMITED</v>
          </cell>
          <cell r="D409">
            <v>800230209</v>
          </cell>
        </row>
        <row r="410">
          <cell r="A410">
            <v>1040564</v>
          </cell>
          <cell r="B410" t="str">
            <v>AKALIA FLORES Y DETALLES LTDA</v>
          </cell>
          <cell r="D410">
            <v>860535874</v>
          </cell>
        </row>
        <row r="411">
          <cell r="A411">
            <v>1040566</v>
          </cell>
          <cell r="B411" t="str">
            <v>BAKER HUGHES DE COLOMBIA</v>
          </cell>
          <cell r="D411">
            <v>800206842</v>
          </cell>
        </row>
        <row r="412">
          <cell r="A412">
            <v>1040571</v>
          </cell>
          <cell r="B412" t="str">
            <v>CUBILLOS SILVIA ELENA</v>
          </cell>
          <cell r="D412">
            <v>35457468</v>
          </cell>
        </row>
        <row r="413">
          <cell r="A413">
            <v>1040575</v>
          </cell>
          <cell r="B413" t="str">
            <v>ESTACION DEL PINO 73 LTDA.</v>
          </cell>
          <cell r="D413">
            <v>830051180</v>
          </cell>
        </row>
        <row r="414">
          <cell r="A414">
            <v>1040576</v>
          </cell>
          <cell r="B414" t="str">
            <v>GARAY MALDONADO IGNACIO</v>
          </cell>
          <cell r="D414">
            <v>119935</v>
          </cell>
        </row>
        <row r="415">
          <cell r="A415">
            <v>1040586</v>
          </cell>
          <cell r="B415" t="str">
            <v>ZZZSEGUROS MUNDIAL</v>
          </cell>
          <cell r="D415">
            <v>860037013</v>
          </cell>
        </row>
        <row r="416">
          <cell r="A416">
            <v>1040590</v>
          </cell>
          <cell r="B416" t="str">
            <v>TALLER TORNITRON-POLANIA HERIBERTO</v>
          </cell>
          <cell r="D416">
            <v>12124110</v>
          </cell>
        </row>
        <row r="417">
          <cell r="A417">
            <v>1040593</v>
          </cell>
          <cell r="B417" t="str">
            <v>HERRERA PAVA GABRIEL</v>
          </cell>
          <cell r="D417">
            <v>12124345</v>
          </cell>
        </row>
        <row r="418">
          <cell r="A418">
            <v>1040596</v>
          </cell>
          <cell r="B418" t="str">
            <v>DUQUE ELIZABETH-SURTI FRENOS</v>
          </cell>
          <cell r="D418">
            <v>36176124</v>
          </cell>
        </row>
        <row r="419">
          <cell r="A419">
            <v>1042299</v>
          </cell>
          <cell r="B419" t="str">
            <v>ALMACEN SURTIHULES CALZANDO</v>
          </cell>
          <cell r="D419">
            <v>860031148</v>
          </cell>
        </row>
        <row r="420">
          <cell r="A420">
            <v>1042316</v>
          </cell>
          <cell r="B420" t="str">
            <v>ANDIA LTDA.</v>
          </cell>
          <cell r="D420">
            <v>860000100</v>
          </cell>
        </row>
        <row r="421">
          <cell r="A421">
            <v>1042317</v>
          </cell>
          <cell r="B421" t="str">
            <v>ARTHUR ANDERSEN &amp; CIA COLOMBIA</v>
          </cell>
          <cell r="C421" t="str">
            <v>1 019</v>
          </cell>
          <cell r="D421">
            <v>860008836</v>
          </cell>
        </row>
        <row r="422">
          <cell r="A422">
            <v>1042318</v>
          </cell>
          <cell r="B422" t="str">
            <v>ASECONES S.A.</v>
          </cell>
          <cell r="D422">
            <v>860516041</v>
          </cell>
        </row>
        <row r="423">
          <cell r="A423">
            <v>1042319</v>
          </cell>
          <cell r="B423" t="str">
            <v>ASIA MICROCOMPUTADORES LTDA</v>
          </cell>
          <cell r="D423">
            <v>800133513</v>
          </cell>
        </row>
        <row r="424">
          <cell r="A424">
            <v>1042320</v>
          </cell>
          <cell r="B424" t="str">
            <v>ASOQUIM LTDA.</v>
          </cell>
          <cell r="D424">
            <v>860034115</v>
          </cell>
        </row>
        <row r="425">
          <cell r="A425">
            <v>1042322</v>
          </cell>
          <cell r="B425" t="str">
            <v>AUROS COPIAS LTDA.</v>
          </cell>
          <cell r="D425">
            <v>860045752</v>
          </cell>
        </row>
        <row r="426">
          <cell r="A426">
            <v>1042323</v>
          </cell>
          <cell r="B426" t="str">
            <v>AUTOMOVILES Y SERVICIOS LTDA.</v>
          </cell>
          <cell r="D426">
            <v>800196163</v>
          </cell>
        </row>
        <row r="427">
          <cell r="A427">
            <v>1042324</v>
          </cell>
          <cell r="B427" t="str">
            <v>AVIOMAR S A</v>
          </cell>
          <cell r="D427">
            <v>860001623</v>
          </cell>
        </row>
        <row r="428">
          <cell r="A428">
            <v>1042327</v>
          </cell>
          <cell r="B428" t="str">
            <v>CAMPETROL</v>
          </cell>
          <cell r="D428">
            <v>800026284</v>
          </cell>
        </row>
        <row r="429">
          <cell r="A429">
            <v>1042328</v>
          </cell>
          <cell r="B429" t="str">
            <v>CEMENTOS BOYACA S.A.</v>
          </cell>
          <cell r="D429">
            <v>860009808</v>
          </cell>
        </row>
        <row r="430">
          <cell r="A430">
            <v>1042329</v>
          </cell>
          <cell r="B430" t="str">
            <v>CENTRO DE IDIOMAS TEACHERS INC</v>
          </cell>
          <cell r="D430">
            <v>830010036</v>
          </cell>
        </row>
        <row r="431">
          <cell r="A431">
            <v>1042333</v>
          </cell>
          <cell r="B431" t="str">
            <v>COMERCIALIZADORA VIGIA S.A.</v>
          </cell>
          <cell r="D431">
            <v>860534746</v>
          </cell>
        </row>
        <row r="432">
          <cell r="A432">
            <v>1042337</v>
          </cell>
          <cell r="B432" t="str">
            <v>COMERCIAL M.C.L. LTDA.</v>
          </cell>
          <cell r="D432">
            <v>800200968</v>
          </cell>
        </row>
        <row r="433">
          <cell r="A433">
            <v>1042342</v>
          </cell>
          <cell r="B433" t="str">
            <v>DHL INTERNACIONAL LTDA</v>
          </cell>
          <cell r="D433">
            <v>860502609</v>
          </cell>
        </row>
        <row r="434">
          <cell r="A434">
            <v>1042343</v>
          </cell>
          <cell r="B434" t="str">
            <v>DISTRIBUIDORA QUIMICA HOLANDA</v>
          </cell>
          <cell r="D434">
            <v>860002590</v>
          </cell>
        </row>
        <row r="435">
          <cell r="A435">
            <v>1042347</v>
          </cell>
          <cell r="B435" t="str">
            <v>DSC DEFENCE SYSTEMS COLOMBIA</v>
          </cell>
          <cell r="D435">
            <v>800019249</v>
          </cell>
        </row>
        <row r="436">
          <cell r="A436">
            <v>1042348</v>
          </cell>
          <cell r="B436" t="str">
            <v>EF EDUCACION INTERNACIONAL LTDA.</v>
          </cell>
          <cell r="D436">
            <v>800149668</v>
          </cell>
        </row>
        <row r="437">
          <cell r="A437">
            <v>1042350</v>
          </cell>
          <cell r="B437" t="str">
            <v>ESMAG ASISTENCIA TECNICA LTDA.</v>
          </cell>
          <cell r="D437">
            <v>800147164</v>
          </cell>
        </row>
        <row r="438">
          <cell r="A438">
            <v>1042351</v>
          </cell>
          <cell r="B438" t="str">
            <v>EXPERTOS</v>
          </cell>
          <cell r="D438">
            <v>860528020</v>
          </cell>
        </row>
        <row r="439">
          <cell r="A439">
            <v>1042354</v>
          </cell>
          <cell r="B439" t="str">
            <v>FRITZ DE COLOMBIA LTDA.</v>
          </cell>
          <cell r="D439">
            <v>830020064</v>
          </cell>
        </row>
        <row r="440">
          <cell r="A440">
            <v>1042355</v>
          </cell>
          <cell r="B440" t="str">
            <v>GAGIE CORPORATION S.A.</v>
          </cell>
          <cell r="D440">
            <v>830040692</v>
          </cell>
        </row>
        <row r="441">
          <cell r="A441">
            <v>1042356</v>
          </cell>
          <cell r="B441" t="str">
            <v>ZZZGASES IND.DE COLOMBIA CRYOGAS</v>
          </cell>
          <cell r="D441">
            <v>860013704</v>
          </cell>
        </row>
        <row r="442">
          <cell r="A442">
            <v>1042357</v>
          </cell>
          <cell r="B442" t="str">
            <v>GENERAL PIPE SERVICE INC</v>
          </cell>
          <cell r="D442">
            <v>860004843</v>
          </cell>
        </row>
        <row r="443">
          <cell r="A443">
            <v>1042359</v>
          </cell>
          <cell r="B443" t="str">
            <v>GRUPO GUERRERO GONZALEZ S.A.</v>
          </cell>
          <cell r="D443">
            <v>800157698</v>
          </cell>
        </row>
        <row r="444">
          <cell r="A444">
            <v>1042362</v>
          </cell>
          <cell r="B444" t="str">
            <v>HONOR SERVICIOS DE SEGURIDAD</v>
          </cell>
          <cell r="D444">
            <v>800185039</v>
          </cell>
        </row>
        <row r="445">
          <cell r="A445">
            <v>1042363</v>
          </cell>
          <cell r="B445" t="str">
            <v>HOTEL BOGOTA ROYAL</v>
          </cell>
          <cell r="D445">
            <v>860517030</v>
          </cell>
        </row>
        <row r="446">
          <cell r="A446">
            <v>1042364</v>
          </cell>
          <cell r="B446" t="str">
            <v>HOTEL PARQUE ROYAL LTDA.</v>
          </cell>
          <cell r="D446">
            <v>800241635</v>
          </cell>
        </row>
        <row r="447">
          <cell r="A447">
            <v>1042365</v>
          </cell>
          <cell r="B447" t="str">
            <v>HOTEL ANDINO ROYAL</v>
          </cell>
          <cell r="D447">
            <v>800241641</v>
          </cell>
        </row>
        <row r="448">
          <cell r="A448">
            <v>1042367</v>
          </cell>
          <cell r="B448" t="str">
            <v>HOTEL VILLAVICENCIO</v>
          </cell>
          <cell r="D448">
            <v>860403441</v>
          </cell>
        </row>
        <row r="449">
          <cell r="A449">
            <v>1042368</v>
          </cell>
          <cell r="B449" t="str">
            <v>HUMGO CIA. LTDA.</v>
          </cell>
          <cell r="D449">
            <v>800016086</v>
          </cell>
        </row>
        <row r="450">
          <cell r="A450">
            <v>1042369</v>
          </cell>
          <cell r="B450" t="str">
            <v>IMPSAT S.A.</v>
          </cell>
          <cell r="D450">
            <v>800136835</v>
          </cell>
        </row>
        <row r="451">
          <cell r="A451">
            <v>1042370</v>
          </cell>
          <cell r="B451" t="str">
            <v>INDUSTRIA DE CALZADO JOVICAL</v>
          </cell>
          <cell r="D451">
            <v>860069040</v>
          </cell>
        </row>
        <row r="452">
          <cell r="A452">
            <v>1042371</v>
          </cell>
          <cell r="B452" t="str">
            <v>INTERTRANSPORTES S.A.</v>
          </cell>
          <cell r="D452">
            <v>830005453</v>
          </cell>
        </row>
        <row r="453">
          <cell r="A453">
            <v>1042374</v>
          </cell>
          <cell r="B453" t="str">
            <v>ISVI LTDA.</v>
          </cell>
          <cell r="D453">
            <v>860401191</v>
          </cell>
        </row>
        <row r="454">
          <cell r="A454">
            <v>1042377</v>
          </cell>
          <cell r="B454" t="str">
            <v>KHARISMA FLORAL</v>
          </cell>
          <cell r="D454">
            <v>79145264</v>
          </cell>
        </row>
        <row r="455">
          <cell r="A455">
            <v>1042378</v>
          </cell>
          <cell r="B455" t="str">
            <v>LANIER COLOMBIA S.A.</v>
          </cell>
          <cell r="D455">
            <v>800026212</v>
          </cell>
        </row>
        <row r="456">
          <cell r="A456">
            <v>1042381</v>
          </cell>
          <cell r="B456" t="str">
            <v>MEPAL S.A.</v>
          </cell>
          <cell r="D456">
            <v>890311274</v>
          </cell>
        </row>
        <row r="457">
          <cell r="A457">
            <v>1042386</v>
          </cell>
          <cell r="B457" t="str">
            <v>MULTISERVICIOS FULL AUTOS</v>
          </cell>
          <cell r="D457">
            <v>19242325</v>
          </cell>
        </row>
        <row r="458">
          <cell r="A458">
            <v>1042387</v>
          </cell>
          <cell r="B458" t="str">
            <v>MULTIDATA LTDA.</v>
          </cell>
          <cell r="D458">
            <v>800181536</v>
          </cell>
        </row>
        <row r="459">
          <cell r="A459">
            <v>1042389</v>
          </cell>
          <cell r="B459" t="str">
            <v>PASS LTDA.</v>
          </cell>
          <cell r="D459">
            <v>800211028</v>
          </cell>
        </row>
        <row r="460">
          <cell r="A460">
            <v>1042393</v>
          </cell>
          <cell r="B460" t="str">
            <v>PRAGA LTDA.</v>
          </cell>
          <cell r="D460">
            <v>860080345</v>
          </cell>
        </row>
        <row r="461">
          <cell r="A461">
            <v>1042395</v>
          </cell>
          <cell r="B461" t="str">
            <v>PRODESEG INDUSTRIAL LTDA.</v>
          </cell>
          <cell r="D461">
            <v>860051688</v>
          </cell>
        </row>
        <row r="462">
          <cell r="A462">
            <v>1042396</v>
          </cell>
          <cell r="B462" t="str">
            <v>QUIANEX LTDA.</v>
          </cell>
          <cell r="D462">
            <v>800155583</v>
          </cell>
        </row>
        <row r="463">
          <cell r="A463">
            <v>1042402</v>
          </cell>
          <cell r="B463" t="str">
            <v>RODRIGO DURAN LTDA.</v>
          </cell>
          <cell r="D463">
            <v>860351550</v>
          </cell>
        </row>
        <row r="464">
          <cell r="A464">
            <v>1042406</v>
          </cell>
          <cell r="B464" t="str">
            <v>SEGURIDAD BURNS DE COLOMBIA S.</v>
          </cell>
          <cell r="D464">
            <v>860023264</v>
          </cell>
        </row>
        <row r="465">
          <cell r="A465">
            <v>1042407</v>
          </cell>
          <cell r="B465" t="str">
            <v>SERCARGA S.A.</v>
          </cell>
          <cell r="D465">
            <v>860037020</v>
          </cell>
        </row>
        <row r="466">
          <cell r="A466">
            <v>1042408</v>
          </cell>
          <cell r="B466" t="str">
            <v>SERVIASEO S.A.</v>
          </cell>
          <cell r="D466">
            <v>860067479</v>
          </cell>
        </row>
        <row r="467">
          <cell r="A467">
            <v>1042410</v>
          </cell>
          <cell r="B467" t="str">
            <v>SIPEL LTDA.</v>
          </cell>
          <cell r="D467">
            <v>860510479</v>
          </cell>
        </row>
        <row r="468">
          <cell r="A468">
            <v>1042411</v>
          </cell>
          <cell r="B468" t="str">
            <v>SOCIEDAD ADMINISTRADORA APARTA</v>
          </cell>
          <cell r="D468">
            <v>830036441</v>
          </cell>
        </row>
        <row r="469">
          <cell r="A469">
            <v>1042412</v>
          </cell>
          <cell r="B469" t="str">
            <v>STAR OILFIELD SERVICES LTDA</v>
          </cell>
          <cell r="D469">
            <v>800234784</v>
          </cell>
        </row>
        <row r="470">
          <cell r="A470">
            <v>1042413</v>
          </cell>
          <cell r="B470" t="str">
            <v>ZZZSTEWART &amp; STEVENSON</v>
          </cell>
          <cell r="D470">
            <v>830033457</v>
          </cell>
        </row>
        <row r="471">
          <cell r="A471">
            <v>1042414</v>
          </cell>
          <cell r="B471" t="str">
            <v>SUITES ROSALES S.A.</v>
          </cell>
          <cell r="D471">
            <v>830011089</v>
          </cell>
        </row>
        <row r="472">
          <cell r="A472">
            <v>1042415</v>
          </cell>
          <cell r="B472" t="str">
            <v>SUMINCOL</v>
          </cell>
          <cell r="D472">
            <v>860065726</v>
          </cell>
        </row>
        <row r="473">
          <cell r="A473">
            <v>1042417</v>
          </cell>
          <cell r="B473" t="str">
            <v>SURTITRACTOMULAS LTDA.</v>
          </cell>
          <cell r="D473">
            <v>800040201</v>
          </cell>
        </row>
        <row r="474">
          <cell r="A474">
            <v>1042420</v>
          </cell>
          <cell r="B474" t="str">
            <v>TRASEGAR LTDA.</v>
          </cell>
          <cell r="D474">
            <v>800172301</v>
          </cell>
        </row>
        <row r="475">
          <cell r="A475">
            <v>1042421</v>
          </cell>
          <cell r="B475" t="str">
            <v>TRANSPORTES VIGIA S.A.</v>
          </cell>
          <cell r="D475">
            <v>800042210</v>
          </cell>
        </row>
        <row r="476">
          <cell r="A476">
            <v>1042422</v>
          </cell>
          <cell r="B476" t="str">
            <v>GRANT THORNTON ULLOA GARZON</v>
          </cell>
          <cell r="D476">
            <v>800001541</v>
          </cell>
        </row>
        <row r="477">
          <cell r="A477">
            <v>1042424</v>
          </cell>
          <cell r="B477" t="str">
            <v>WILCHES HERNANDEZ ALBERTO</v>
          </cell>
          <cell r="D477">
            <v>19217846</v>
          </cell>
        </row>
        <row r="478">
          <cell r="A478">
            <v>1042425</v>
          </cell>
          <cell r="B478" t="str">
            <v>XEROX DE COLOMBIA S.A.</v>
          </cell>
          <cell r="D478">
            <v>860028581</v>
          </cell>
        </row>
        <row r="479">
          <cell r="A479">
            <v>1042426</v>
          </cell>
          <cell r="B479" t="str">
            <v>YOKOMOTOR</v>
          </cell>
          <cell r="D479">
            <v>800041829</v>
          </cell>
        </row>
        <row r="480">
          <cell r="A480">
            <v>1042431</v>
          </cell>
          <cell r="B480" t="str">
            <v>SQL SOFTWARE</v>
          </cell>
          <cell r="D480">
            <v>800301159</v>
          </cell>
        </row>
        <row r="481">
          <cell r="A481">
            <v>1042471</v>
          </cell>
          <cell r="B481" t="str">
            <v>COMPANIA HOTELERA LA ESPERANZA</v>
          </cell>
          <cell r="D481">
            <v>830029492</v>
          </cell>
        </row>
        <row r="482">
          <cell r="A482">
            <v>1042480</v>
          </cell>
          <cell r="B482" t="str">
            <v>ADEQUIM LTDA.</v>
          </cell>
          <cell r="D482">
            <v>800200257</v>
          </cell>
        </row>
        <row r="483">
          <cell r="A483">
            <v>1042481</v>
          </cell>
          <cell r="B483" t="str">
            <v>AEROENVIOS</v>
          </cell>
          <cell r="D483">
            <v>800158934</v>
          </cell>
        </row>
        <row r="484">
          <cell r="A484">
            <v>1042482</v>
          </cell>
          <cell r="B484" t="str">
            <v>ALMACEN ELECTROMAFER</v>
          </cell>
          <cell r="D484">
            <v>19058282</v>
          </cell>
        </row>
        <row r="485">
          <cell r="A485">
            <v>1042485</v>
          </cell>
          <cell r="B485" t="str">
            <v>CLINICA EL PRADO</v>
          </cell>
          <cell r="D485">
            <v>800050068</v>
          </cell>
        </row>
        <row r="486">
          <cell r="A486">
            <v>1042486</v>
          </cell>
          <cell r="B486" t="str">
            <v>COLOMBIAN TOURIST LTDA.</v>
          </cell>
          <cell r="D486">
            <v>860000230</v>
          </cell>
        </row>
        <row r="487">
          <cell r="A487">
            <v>1042487</v>
          </cell>
          <cell r="B487" t="str">
            <v>CS IMPRESORES LTDA.</v>
          </cell>
          <cell r="D487">
            <v>860509054</v>
          </cell>
        </row>
        <row r="488">
          <cell r="A488">
            <v>1042488</v>
          </cell>
          <cell r="B488" t="str">
            <v>DIAGNOSTICENTRO LA FERIA LTDA.</v>
          </cell>
          <cell r="D488">
            <v>860520529</v>
          </cell>
        </row>
        <row r="489">
          <cell r="A489">
            <v>1042489</v>
          </cell>
          <cell r="B489" t="str">
            <v>F.S.P. Y CIA LTDA.SUITES LUGAN</v>
          </cell>
          <cell r="D489">
            <v>860507870</v>
          </cell>
        </row>
        <row r="490">
          <cell r="A490">
            <v>1042492</v>
          </cell>
          <cell r="B490" t="str">
            <v>MOLYTEC LTDA.</v>
          </cell>
          <cell r="D490">
            <v>860052489</v>
          </cell>
        </row>
        <row r="491">
          <cell r="A491">
            <v>1042494</v>
          </cell>
          <cell r="B491" t="str">
            <v>PAPELERIA LINARES LTDA</v>
          </cell>
          <cell r="D491">
            <v>800065263</v>
          </cell>
        </row>
        <row r="492">
          <cell r="A492">
            <v>1042496</v>
          </cell>
          <cell r="B492" t="str">
            <v>QUICK OFFICE LTDA.</v>
          </cell>
          <cell r="D492">
            <v>830027647</v>
          </cell>
        </row>
        <row r="493">
          <cell r="A493">
            <v>1042498</v>
          </cell>
          <cell r="B493" t="str">
            <v>SERVI-REPUESTOS DEL OCCIDENTE</v>
          </cell>
          <cell r="D493">
            <v>800014499</v>
          </cell>
        </row>
        <row r="494">
          <cell r="A494">
            <v>1042499</v>
          </cell>
          <cell r="B494" t="str">
            <v>TASERVIN Y/O IGNACIO RAMIREZ</v>
          </cell>
          <cell r="D494">
            <v>19302045</v>
          </cell>
        </row>
        <row r="495">
          <cell r="A495">
            <v>1042502</v>
          </cell>
          <cell r="B495" t="str">
            <v>ZZZWEATHERFORD COLOMBIA LTD.</v>
          </cell>
          <cell r="D495">
            <v>800230209</v>
          </cell>
        </row>
        <row r="496">
          <cell r="A496">
            <v>1042505</v>
          </cell>
          <cell r="B496" t="str">
            <v>INDUSTRIAL DE CONFECCIONES BIG JOB</v>
          </cell>
          <cell r="D496">
            <v>860010641</v>
          </cell>
        </row>
        <row r="497">
          <cell r="A497">
            <v>1042506</v>
          </cell>
          <cell r="B497" t="str">
            <v>COLOMSAT S.A.</v>
          </cell>
          <cell r="D497">
            <v>800144412</v>
          </cell>
        </row>
        <row r="498">
          <cell r="A498">
            <v>1042507</v>
          </cell>
          <cell r="B498" t="str">
            <v>COMPYNET LTDA.</v>
          </cell>
          <cell r="D498">
            <v>800220653</v>
          </cell>
        </row>
        <row r="499">
          <cell r="A499">
            <v>1042511</v>
          </cell>
          <cell r="B499" t="str">
            <v>SOLMAQ S.A.</v>
          </cell>
          <cell r="D499">
            <v>860054854</v>
          </cell>
        </row>
        <row r="500">
          <cell r="A500">
            <v>1042512</v>
          </cell>
          <cell r="B500" t="str">
            <v>TERMOVALVULAS LTDA.</v>
          </cell>
          <cell r="D500">
            <v>860528203</v>
          </cell>
        </row>
        <row r="501">
          <cell r="A501">
            <v>1043084</v>
          </cell>
          <cell r="B501" t="str">
            <v>ARENAS &amp; MINERALES</v>
          </cell>
          <cell r="D501">
            <v>826001256</v>
          </cell>
        </row>
        <row r="502">
          <cell r="A502">
            <v>1043217</v>
          </cell>
          <cell r="B502" t="str">
            <v>EMPRESA NACIONAL DE</v>
          </cell>
          <cell r="D502">
            <v>899999023</v>
          </cell>
        </row>
        <row r="503">
          <cell r="A503">
            <v>1043232</v>
          </cell>
          <cell r="B503" t="str">
            <v>CREAR SISTEMAS</v>
          </cell>
          <cell r="D503">
            <v>12124519</v>
          </cell>
        </row>
        <row r="504">
          <cell r="A504">
            <v>1043309</v>
          </cell>
          <cell r="B504" t="str">
            <v>TEMPOSUR LTDA</v>
          </cell>
          <cell r="D504">
            <v>813001317</v>
          </cell>
        </row>
        <row r="505">
          <cell r="A505">
            <v>1043389</v>
          </cell>
          <cell r="B505" t="str">
            <v>CORTES TORRES JOSE DEMETRIO</v>
          </cell>
          <cell r="D505">
            <v>17623051</v>
          </cell>
        </row>
        <row r="506">
          <cell r="A506">
            <v>1043390</v>
          </cell>
          <cell r="B506" t="str">
            <v>AUTOROLLINGS MULTITECA LTDA.</v>
          </cell>
          <cell r="D506">
            <v>40392419</v>
          </cell>
        </row>
        <row r="507">
          <cell r="A507">
            <v>1043391</v>
          </cell>
          <cell r="B507" t="str">
            <v>CADAVID JUAN GUILLERMO</v>
          </cell>
          <cell r="D507">
            <v>3587098</v>
          </cell>
        </row>
        <row r="508">
          <cell r="A508">
            <v>1043498</v>
          </cell>
          <cell r="B508" t="str">
            <v>BAKER HUGHES DE COLOMBIA</v>
          </cell>
          <cell r="D508">
            <v>800206842</v>
          </cell>
        </row>
        <row r="509">
          <cell r="A509">
            <v>1043499</v>
          </cell>
          <cell r="B509" t="str">
            <v>EXTINCOL O MARTINEZ JOSE M.</v>
          </cell>
          <cell r="D509">
            <v>19263760</v>
          </cell>
        </row>
        <row r="510">
          <cell r="A510">
            <v>1043525</v>
          </cell>
          <cell r="B510" t="str">
            <v>CELUMOVIL S.A.</v>
          </cell>
          <cell r="D510">
            <v>830037330</v>
          </cell>
        </row>
        <row r="511">
          <cell r="A511">
            <v>1043541</v>
          </cell>
          <cell r="B511" t="str">
            <v>WEATHERFORD COLOMBIA LIMITED</v>
          </cell>
          <cell r="D511">
            <v>800230209</v>
          </cell>
        </row>
        <row r="512">
          <cell r="A512">
            <v>1045358</v>
          </cell>
          <cell r="B512" t="str">
            <v>CS IMPRESORES LTDA</v>
          </cell>
          <cell r="D512">
            <v>860509054</v>
          </cell>
        </row>
        <row r="513">
          <cell r="A513">
            <v>1045366</v>
          </cell>
          <cell r="B513" t="str">
            <v>ZZZSTEWART AND STEVENSON  DE LAS</v>
          </cell>
          <cell r="D513">
            <v>830033457</v>
          </cell>
        </row>
        <row r="514">
          <cell r="A514">
            <v>1045386</v>
          </cell>
          <cell r="B514" t="str">
            <v>GARRIDO Y TORRES LTDA</v>
          </cell>
          <cell r="D514">
            <v>844001128</v>
          </cell>
        </row>
        <row r="515">
          <cell r="A515">
            <v>1045407</v>
          </cell>
          <cell r="B515" t="str">
            <v>INGESEG INDUSTRIAL LTDA</v>
          </cell>
          <cell r="D515">
            <v>800197516</v>
          </cell>
        </row>
        <row r="516">
          <cell r="A516">
            <v>1045408</v>
          </cell>
          <cell r="B516" t="str">
            <v>ANTIDESLIZANTES Y SEÑALIZACION A.F.</v>
          </cell>
          <cell r="D516">
            <v>830007982</v>
          </cell>
        </row>
        <row r="517">
          <cell r="A517">
            <v>1045412</v>
          </cell>
          <cell r="B517" t="str">
            <v>MAMUT DE COLOMBIA</v>
          </cell>
          <cell r="D517">
            <v>860067853</v>
          </cell>
        </row>
        <row r="518">
          <cell r="A518">
            <v>1045413</v>
          </cell>
          <cell r="B518" t="str">
            <v>SERVINTEC LTDA.</v>
          </cell>
          <cell r="D518">
            <v>844001566</v>
          </cell>
        </row>
        <row r="519">
          <cell r="A519">
            <v>1045414</v>
          </cell>
          <cell r="B519" t="str">
            <v>NOVA PEDRO J.</v>
          </cell>
          <cell r="D519">
            <v>11136546</v>
          </cell>
        </row>
        <row r="520">
          <cell r="A520">
            <v>1045415</v>
          </cell>
          <cell r="B520" t="str">
            <v>SURTITRACTOMULAS LTDA</v>
          </cell>
          <cell r="D520">
            <v>800040201</v>
          </cell>
        </row>
        <row r="521">
          <cell r="A521">
            <v>1045505</v>
          </cell>
          <cell r="B521" t="str">
            <v>CARDENAS HECTOR JULIO</v>
          </cell>
          <cell r="D521">
            <v>13879411</v>
          </cell>
        </row>
        <row r="522">
          <cell r="A522">
            <v>1045518</v>
          </cell>
          <cell r="B522" t="str">
            <v>NIETO DE OSORIO GLORIA</v>
          </cell>
          <cell r="D522">
            <v>20280019</v>
          </cell>
        </row>
        <row r="523">
          <cell r="A523">
            <v>1045520</v>
          </cell>
          <cell r="B523" t="str">
            <v>SHELL COLOMBIA S.A.</v>
          </cell>
          <cell r="D523">
            <v>860002190</v>
          </cell>
        </row>
        <row r="524">
          <cell r="A524">
            <v>1045556</v>
          </cell>
          <cell r="B524" t="str">
            <v>HERMENCIA RODRIGUEZ DE COVALEDA</v>
          </cell>
          <cell r="D524">
            <v>20630245</v>
          </cell>
        </row>
        <row r="525">
          <cell r="A525">
            <v>1045576</v>
          </cell>
          <cell r="B525" t="str">
            <v>TESORERIA MUNICIPAL DE OROCUE</v>
          </cell>
          <cell r="D525">
            <v>892099392</v>
          </cell>
        </row>
        <row r="526">
          <cell r="A526">
            <v>1045578</v>
          </cell>
          <cell r="B526" t="str">
            <v>RECURSOS PROPIOS  INGEOMINAS</v>
          </cell>
          <cell r="D526">
            <v>899999294</v>
          </cell>
        </row>
        <row r="527">
          <cell r="A527">
            <v>1045636</v>
          </cell>
          <cell r="B527" t="str">
            <v>EDIFICIO ANTARES</v>
          </cell>
          <cell r="D527">
            <v>813002195</v>
          </cell>
        </row>
        <row r="528">
          <cell r="A528">
            <v>1045670</v>
          </cell>
          <cell r="B528" t="str">
            <v>TRANSMARINAS LTDA</v>
          </cell>
          <cell r="D528">
            <v>800224564</v>
          </cell>
        </row>
        <row r="529">
          <cell r="A529">
            <v>1045719</v>
          </cell>
          <cell r="B529" t="str">
            <v>MONTEALEGRE LEON NORMA CONSTANZA</v>
          </cell>
          <cell r="D529">
            <v>26468466</v>
          </cell>
        </row>
        <row r="530">
          <cell r="A530">
            <v>1045728</v>
          </cell>
          <cell r="B530" t="str">
            <v>JORGE ENRIQUE MARROQUIN CUELLAR</v>
          </cell>
          <cell r="D530">
            <v>12134960</v>
          </cell>
        </row>
        <row r="531">
          <cell r="A531">
            <v>1045737</v>
          </cell>
          <cell r="B531" t="str">
            <v>PALENCIA SANTIAGO</v>
          </cell>
          <cell r="D531">
            <v>1555085</v>
          </cell>
        </row>
        <row r="532">
          <cell r="A532">
            <v>1045778</v>
          </cell>
          <cell r="B532" t="str">
            <v>SIERRA MARTINEZ JAIME</v>
          </cell>
          <cell r="D532">
            <v>9650843</v>
          </cell>
        </row>
        <row r="533">
          <cell r="A533">
            <v>1045779</v>
          </cell>
          <cell r="B533" t="str">
            <v>VEGA H.JORGE HERNANDO.</v>
          </cell>
          <cell r="D533">
            <v>9522588</v>
          </cell>
        </row>
        <row r="534">
          <cell r="A534">
            <v>1045865</v>
          </cell>
          <cell r="B534" t="str">
            <v>ESTRADA CLARA ELIDA</v>
          </cell>
          <cell r="D534">
            <v>41438618</v>
          </cell>
        </row>
        <row r="535">
          <cell r="A535">
            <v>1046143</v>
          </cell>
          <cell r="B535" t="str">
            <v>BENAVIDES LOPEZ OMAR EDUARDO</v>
          </cell>
          <cell r="D535">
            <v>79461981</v>
          </cell>
        </row>
        <row r="536">
          <cell r="A536">
            <v>1046144</v>
          </cell>
          <cell r="B536" t="str">
            <v>MENDEZ DIEGO</v>
          </cell>
          <cell r="D536">
            <v>19452645</v>
          </cell>
        </row>
        <row r="537">
          <cell r="A537">
            <v>1046161</v>
          </cell>
          <cell r="B537" t="str">
            <v>A.D. TELEFONIA</v>
          </cell>
          <cell r="D537">
            <v>7689242</v>
          </cell>
        </row>
        <row r="538">
          <cell r="A538">
            <v>1048393</v>
          </cell>
          <cell r="B538" t="str">
            <v>OFICENTRO MUEBLES Y EQUIPOS</v>
          </cell>
          <cell r="D538">
            <v>36167277</v>
          </cell>
        </row>
        <row r="539">
          <cell r="A539">
            <v>1048414</v>
          </cell>
          <cell r="B539" t="str">
            <v>ESTHER CORREA</v>
          </cell>
          <cell r="D539">
            <v>28420592</v>
          </cell>
        </row>
        <row r="540">
          <cell r="A540">
            <v>1048415</v>
          </cell>
          <cell r="B540" t="str">
            <v>SANTA MONICA LTDA</v>
          </cell>
          <cell r="D540">
            <v>826000424</v>
          </cell>
        </row>
        <row r="541">
          <cell r="A541">
            <v>1048421</v>
          </cell>
          <cell r="B541" t="str">
            <v>ALBORAUTOS LTDA O TOYOTA</v>
          </cell>
          <cell r="D541">
            <v>800240258</v>
          </cell>
        </row>
        <row r="542">
          <cell r="A542">
            <v>1048499</v>
          </cell>
          <cell r="B542" t="str">
            <v>IMP-EXPORT MARCAST</v>
          </cell>
          <cell r="D542">
            <v>41788673</v>
          </cell>
        </row>
        <row r="543">
          <cell r="A543">
            <v>1048664</v>
          </cell>
          <cell r="B543" t="str">
            <v>PETROINFER</v>
          </cell>
          <cell r="D543">
            <v>800169539</v>
          </cell>
        </row>
        <row r="544">
          <cell r="A544">
            <v>1048716</v>
          </cell>
          <cell r="B544" t="str">
            <v>PINZON ADRIANA MARCELA</v>
          </cell>
          <cell r="D544">
            <v>52707914</v>
          </cell>
        </row>
        <row r="545">
          <cell r="A545">
            <v>1048741</v>
          </cell>
          <cell r="B545" t="str">
            <v>DIAZ MOYA FABIO JAVIER</v>
          </cell>
          <cell r="D545">
            <v>79349335</v>
          </cell>
        </row>
        <row r="546">
          <cell r="A546">
            <v>1048776</v>
          </cell>
          <cell r="B546" t="str">
            <v>TRADUCIENDO LTDA</v>
          </cell>
          <cell r="D546">
            <v>830040468</v>
          </cell>
        </row>
        <row r="547">
          <cell r="A547">
            <v>1048801</v>
          </cell>
          <cell r="B547" t="str">
            <v>FONDO DE PENSIONES VOLUNTARIAS</v>
          </cell>
          <cell r="D547">
            <v>830006270</v>
          </cell>
        </row>
        <row r="548">
          <cell r="A548">
            <v>1048802</v>
          </cell>
          <cell r="B548" t="str">
            <v>CAJANAL E.P.S.</v>
          </cell>
          <cell r="D548">
            <v>899999010</v>
          </cell>
        </row>
        <row r="549">
          <cell r="A549">
            <v>1048810</v>
          </cell>
          <cell r="B549" t="str">
            <v>POWER CELL S.A.</v>
          </cell>
          <cell r="D549">
            <v>800231786</v>
          </cell>
        </row>
        <row r="550">
          <cell r="A550">
            <v>1048871</v>
          </cell>
          <cell r="B550" t="str">
            <v>TARAZONA HERNANDO</v>
          </cell>
          <cell r="D550">
            <v>11370114</v>
          </cell>
        </row>
        <row r="551">
          <cell r="A551">
            <v>1049006</v>
          </cell>
          <cell r="B551" t="str">
            <v>REPRESENTACIAONES LUALCOR E.U.</v>
          </cell>
          <cell r="D551">
            <v>830051015</v>
          </cell>
        </row>
        <row r="552">
          <cell r="A552">
            <v>1049019</v>
          </cell>
          <cell r="B552" t="str">
            <v>ALDANA BUSTOS LIBARDO</v>
          </cell>
          <cell r="D552">
            <v>19329278</v>
          </cell>
        </row>
        <row r="553">
          <cell r="A553">
            <v>1049097</v>
          </cell>
          <cell r="B553" t="str">
            <v>ROJAS HERIBERTO</v>
          </cell>
          <cell r="D553">
            <v>5575846</v>
          </cell>
        </row>
        <row r="554">
          <cell r="A554">
            <v>1049155</v>
          </cell>
          <cell r="B554" t="str">
            <v>AUTOVIDRIOS DEL HUILA</v>
          </cell>
          <cell r="D554">
            <v>79305277</v>
          </cell>
        </row>
        <row r="555">
          <cell r="A555">
            <v>1049277</v>
          </cell>
          <cell r="B555" t="str">
            <v>MANIOS VANEGAS JORGE</v>
          </cell>
          <cell r="D555">
            <v>12114017</v>
          </cell>
        </row>
        <row r="556">
          <cell r="A556">
            <v>1049435</v>
          </cell>
          <cell r="B556" t="str">
            <v>MARTINEZ PEREZ DANIEL O LLANO</v>
          </cell>
          <cell r="D556">
            <v>95110156</v>
          </cell>
        </row>
        <row r="557">
          <cell r="A557">
            <v>1049443</v>
          </cell>
          <cell r="B557" t="str">
            <v>CARLOS DURAN Y ASOCIADOS LTDA</v>
          </cell>
          <cell r="D557">
            <v>860069492</v>
          </cell>
        </row>
        <row r="558">
          <cell r="A558">
            <v>1049716</v>
          </cell>
          <cell r="B558" t="str">
            <v>GIRATA PEDRAZA IVONNE</v>
          </cell>
          <cell r="D558">
            <v>51835993</v>
          </cell>
        </row>
        <row r="559">
          <cell r="A559">
            <v>1049759</v>
          </cell>
          <cell r="B559" t="str">
            <v>CARRILLO MARIA PAULA</v>
          </cell>
          <cell r="D559">
            <v>52258935</v>
          </cell>
        </row>
        <row r="560">
          <cell r="A560">
            <v>1049760</v>
          </cell>
          <cell r="B560" t="str">
            <v>SANCHEZ MARIO RICARDO</v>
          </cell>
          <cell r="D560">
            <v>93371889</v>
          </cell>
        </row>
        <row r="561">
          <cell r="A561">
            <v>1049902</v>
          </cell>
          <cell r="B561" t="str">
            <v>INSTITUTO MUNICIPAL DEL DEPORTE,LA</v>
          </cell>
          <cell r="D561">
            <v>813000601</v>
          </cell>
        </row>
        <row r="562">
          <cell r="A562">
            <v>1049941</v>
          </cell>
          <cell r="B562" t="str">
            <v>AEROCOLOMBIA CHARTER LTDA</v>
          </cell>
          <cell r="D562">
            <v>830037899</v>
          </cell>
        </row>
        <row r="563">
          <cell r="A563">
            <v>1049973</v>
          </cell>
          <cell r="B563" t="str">
            <v>GARCES JUAN CARLOS</v>
          </cell>
          <cell r="D563">
            <v>7686209</v>
          </cell>
        </row>
        <row r="564">
          <cell r="A564">
            <v>1050092</v>
          </cell>
          <cell r="B564" t="str">
            <v>SURATEP</v>
          </cell>
          <cell r="D564">
            <v>800256161</v>
          </cell>
        </row>
        <row r="565">
          <cell r="A565">
            <v>1050094</v>
          </cell>
          <cell r="B565" t="str">
            <v>ZZZFONDO DE PENSIONES VOLUNTARIAS</v>
          </cell>
          <cell r="D565">
            <v>800229256</v>
          </cell>
        </row>
        <row r="566">
          <cell r="A566">
            <v>1050146</v>
          </cell>
          <cell r="B566" t="str">
            <v>DIAZ CARVAJAL DANILO O PAKER</v>
          </cell>
          <cell r="D566">
            <v>5567662</v>
          </cell>
        </row>
        <row r="567">
          <cell r="A567">
            <v>1050152</v>
          </cell>
          <cell r="B567" t="str">
            <v>FIDEL ORTIZ TRIVIÑO</v>
          </cell>
          <cell r="D567">
            <v>2884618</v>
          </cell>
        </row>
        <row r="568">
          <cell r="A568">
            <v>1050209</v>
          </cell>
          <cell r="B568" t="str">
            <v>TESORERIA MUNICIPAL DE VIANI</v>
          </cell>
          <cell r="D568">
            <v>899999709</v>
          </cell>
        </row>
        <row r="569">
          <cell r="A569">
            <v>1050239</v>
          </cell>
          <cell r="B569" t="str">
            <v>BOCANEGRA BERNARDO</v>
          </cell>
          <cell r="D569">
            <v>11302249</v>
          </cell>
        </row>
        <row r="570">
          <cell r="A570">
            <v>1050358</v>
          </cell>
          <cell r="B570" t="str">
            <v>IMPULSO TEMPORAL LTDA</v>
          </cell>
          <cell r="D570">
            <v>860506725</v>
          </cell>
        </row>
        <row r="571">
          <cell r="A571">
            <v>1055987</v>
          </cell>
          <cell r="B571" t="str">
            <v>NATES ELJAIEK  LEONARDO</v>
          </cell>
          <cell r="D571">
            <v>19409621</v>
          </cell>
        </row>
        <row r="572">
          <cell r="A572">
            <v>1056193</v>
          </cell>
          <cell r="B572" t="str">
            <v>LABORATORIO DIESEL DEL HUILA LTDA</v>
          </cell>
          <cell r="D572">
            <v>12122086</v>
          </cell>
        </row>
        <row r="573">
          <cell r="A573">
            <v>1056204</v>
          </cell>
          <cell r="B573" t="str">
            <v>FALLA MORERA JORGE MAURICIO</v>
          </cell>
          <cell r="D573">
            <v>7685712</v>
          </cell>
        </row>
        <row r="574">
          <cell r="A574">
            <v>1056231</v>
          </cell>
          <cell r="B574" t="str">
            <v>TRANSPORTES CARAVANA LTDA.</v>
          </cell>
          <cell r="D574">
            <v>860061766</v>
          </cell>
        </row>
        <row r="575">
          <cell r="A575">
            <v>1056429</v>
          </cell>
          <cell r="B575" t="str">
            <v>EQUIPOS DE COLOMBIA LTDA -</v>
          </cell>
          <cell r="D575">
            <v>830051450</v>
          </cell>
        </row>
        <row r="576">
          <cell r="A576">
            <v>1056433</v>
          </cell>
          <cell r="B576" t="str">
            <v>INDUSTRIAL DE SERVICIOS EU-PEDRO</v>
          </cell>
          <cell r="D576">
            <v>844000532</v>
          </cell>
        </row>
        <row r="577">
          <cell r="A577">
            <v>1056759</v>
          </cell>
          <cell r="B577" t="str">
            <v>FONDO DE PENSIONES VOLUNTARIAS DE</v>
          </cell>
          <cell r="D577">
            <v>800198646</v>
          </cell>
        </row>
        <row r="578">
          <cell r="A578">
            <v>1056760</v>
          </cell>
          <cell r="B578" t="str">
            <v>CORTES VILLEGAS HERNAN DOMINGO</v>
          </cell>
          <cell r="D578">
            <v>12907146</v>
          </cell>
        </row>
        <row r="579">
          <cell r="A579">
            <v>1056881</v>
          </cell>
          <cell r="B579" t="str">
            <v>BILLY WADE BODE</v>
          </cell>
          <cell r="D579">
            <v>13099905</v>
          </cell>
        </row>
        <row r="580">
          <cell r="A580">
            <v>1056882</v>
          </cell>
          <cell r="B580" t="str">
            <v>WILLIAM NORMAND</v>
          </cell>
          <cell r="D580">
            <v>21175393</v>
          </cell>
        </row>
        <row r="581">
          <cell r="A581">
            <v>1056921</v>
          </cell>
          <cell r="B581" t="str">
            <v>STAND DEPORTIVO  O CAMARGO H. PEDRO</v>
          </cell>
          <cell r="D581">
            <v>41124356</v>
          </cell>
        </row>
        <row r="582">
          <cell r="A582">
            <v>1057082</v>
          </cell>
          <cell r="B582" t="str">
            <v>ARTE AND PRESENTE</v>
          </cell>
          <cell r="C582" t="str">
            <v>CARRERA 49</v>
          </cell>
          <cell r="D582">
            <v>830014542</v>
          </cell>
        </row>
        <row r="583">
          <cell r="A583">
            <v>1057105</v>
          </cell>
          <cell r="B583" t="str">
            <v>FIDUCIARIA DE OCCIDENTE FID 3-1-181</v>
          </cell>
          <cell r="D583">
            <v>860046779</v>
          </cell>
        </row>
        <row r="584">
          <cell r="A584">
            <v>1058842</v>
          </cell>
          <cell r="B584" t="str">
            <v>SERVICIO AUTOJAPONES LTDA - MAZDA</v>
          </cell>
          <cell r="D584">
            <v>800188060</v>
          </cell>
        </row>
        <row r="585">
          <cell r="A585">
            <v>1059774</v>
          </cell>
          <cell r="B585" t="str">
            <v>TUBOSCOPE VETCO INTERNATIONAL</v>
          </cell>
          <cell r="D585">
            <v>830010194</v>
          </cell>
        </row>
        <row r="586">
          <cell r="A586">
            <v>1059865</v>
          </cell>
          <cell r="B586" t="str">
            <v>PORTAN S A</v>
          </cell>
          <cell r="D586">
            <v>860354208</v>
          </cell>
        </row>
        <row r="587">
          <cell r="A587">
            <v>1060109</v>
          </cell>
          <cell r="B587" t="str">
            <v>NEUTA P JOSE FLOWER</v>
          </cell>
          <cell r="D587">
            <v>7693775</v>
          </cell>
        </row>
        <row r="588">
          <cell r="A588">
            <v>1063104</v>
          </cell>
          <cell r="B588" t="str">
            <v>NELSON MURCIA</v>
          </cell>
          <cell r="D588">
            <v>79318369</v>
          </cell>
        </row>
        <row r="589">
          <cell r="A589">
            <v>1063121</v>
          </cell>
          <cell r="B589" t="str">
            <v>CENTRO DE COMUNICACIONES</v>
          </cell>
          <cell r="D589">
            <v>800227275</v>
          </cell>
        </row>
        <row r="590">
          <cell r="A590">
            <v>1063199</v>
          </cell>
          <cell r="B590" t="str">
            <v>PRODI LTDA</v>
          </cell>
          <cell r="D590">
            <v>860050659</v>
          </cell>
        </row>
        <row r="591">
          <cell r="A591">
            <v>1063405</v>
          </cell>
          <cell r="B591" t="str">
            <v>URIGO LTDA</v>
          </cell>
          <cell r="D591">
            <v>860006237</v>
          </cell>
        </row>
        <row r="592">
          <cell r="A592">
            <v>1063448</v>
          </cell>
          <cell r="B592" t="str">
            <v>CALIBRAR INGENIERIA LTDA</v>
          </cell>
          <cell r="D592">
            <v>813002226</v>
          </cell>
        </row>
        <row r="593">
          <cell r="A593">
            <v>1063474</v>
          </cell>
          <cell r="B593" t="str">
            <v>CRUZ SALAMANCA JOSE</v>
          </cell>
          <cell r="D593">
            <v>4053572</v>
          </cell>
        </row>
        <row r="594">
          <cell r="A594">
            <v>1063680</v>
          </cell>
          <cell r="B594" t="str">
            <v>JENNY OSPINA</v>
          </cell>
          <cell r="D594">
            <v>55173942</v>
          </cell>
        </row>
        <row r="595">
          <cell r="A595">
            <v>1063750</v>
          </cell>
          <cell r="B595" t="str">
            <v>CHRISTOPHER JONES</v>
          </cell>
          <cell r="D595">
            <v>18791340</v>
          </cell>
        </row>
        <row r="596">
          <cell r="A596">
            <v>1063829</v>
          </cell>
          <cell r="B596" t="str">
            <v>CAMACHO P ROCIO DEL PILAR</v>
          </cell>
          <cell r="D596">
            <v>36181515</v>
          </cell>
        </row>
        <row r="597">
          <cell r="A597">
            <v>1073645</v>
          </cell>
          <cell r="B597" t="str">
            <v>PREVENSA LTDA</v>
          </cell>
          <cell r="D597">
            <v>813000277</v>
          </cell>
        </row>
        <row r="598">
          <cell r="A598">
            <v>1075554</v>
          </cell>
          <cell r="B598" t="str">
            <v>MAHECHA IBAGOS YESID</v>
          </cell>
          <cell r="D598">
            <v>19091912</v>
          </cell>
        </row>
        <row r="599">
          <cell r="A599">
            <v>1075620</v>
          </cell>
          <cell r="B599" t="str">
            <v>TALLERES BERNAL Y VALBUENA LTDA</v>
          </cell>
          <cell r="D599">
            <v>860509897</v>
          </cell>
        </row>
        <row r="600">
          <cell r="A600">
            <v>1075686</v>
          </cell>
          <cell r="B600" t="str">
            <v>INSTITUTO COLOMBIANO DE NORMAS</v>
          </cell>
          <cell r="D600">
            <v>860012236</v>
          </cell>
        </row>
        <row r="601">
          <cell r="A601">
            <v>1075764</v>
          </cell>
          <cell r="B601" t="str">
            <v>TORRES V CARLOS JULIO</v>
          </cell>
          <cell r="D601">
            <v>19347006</v>
          </cell>
        </row>
        <row r="602">
          <cell r="A602">
            <v>1075797</v>
          </cell>
          <cell r="B602" t="str">
            <v>FERNANDEZ RUIZ MARTHA PATRICIA/</v>
          </cell>
          <cell r="D602">
            <v>36170212</v>
          </cell>
        </row>
        <row r="603">
          <cell r="A603">
            <v>1075911</v>
          </cell>
          <cell r="B603" t="str">
            <v>APOYO Y MERCADEO LTDA</v>
          </cell>
          <cell r="D603">
            <v>830026519</v>
          </cell>
        </row>
        <row r="604">
          <cell r="A604">
            <v>1076034</v>
          </cell>
          <cell r="B604" t="str">
            <v>COMERCIALIZADORA  RAGORE</v>
          </cell>
          <cell r="D604">
            <v>82609276</v>
          </cell>
        </row>
        <row r="605">
          <cell r="A605">
            <v>1076042</v>
          </cell>
          <cell r="B605" t="str">
            <v>CONTROLES EMPRESARIALES LTDA</v>
          </cell>
          <cell r="D605">
            <v>800058607</v>
          </cell>
        </row>
        <row r="606">
          <cell r="A606">
            <v>1076141</v>
          </cell>
          <cell r="B606" t="str">
            <v>VUELOS EXPRESOS-ESFUMADOS DEL NORTE</v>
          </cell>
          <cell r="D606">
            <v>890505521</v>
          </cell>
        </row>
        <row r="607">
          <cell r="A607">
            <v>1076187</v>
          </cell>
          <cell r="B607" t="str">
            <v>FUNDACION PARA EL DESARROLLO DE LA</v>
          </cell>
          <cell r="D607">
            <v>800184601</v>
          </cell>
        </row>
        <row r="608">
          <cell r="A608">
            <v>1076199</v>
          </cell>
          <cell r="B608" t="str">
            <v>CONRRADO WALTERO LOAIZA</v>
          </cell>
          <cell r="D608">
            <v>12099465</v>
          </cell>
        </row>
        <row r="609">
          <cell r="A609">
            <v>1076225</v>
          </cell>
          <cell r="B609" t="str">
            <v>SPERRY-SUN INTERNATIONAL INC</v>
          </cell>
          <cell r="D609">
            <v>860517534</v>
          </cell>
        </row>
        <row r="610">
          <cell r="A610">
            <v>1076325</v>
          </cell>
          <cell r="B610" t="str">
            <v>INTENDENCIA LOCAL NO 94</v>
          </cell>
          <cell r="D610">
            <v>800131045</v>
          </cell>
        </row>
        <row r="611">
          <cell r="A611">
            <v>1076357</v>
          </cell>
          <cell r="B611" t="str">
            <v>FERRETERIA VARMA-MARIO VARGAS</v>
          </cell>
          <cell r="D611">
            <v>19298171</v>
          </cell>
        </row>
        <row r="612">
          <cell r="A612">
            <v>1076359</v>
          </cell>
          <cell r="B612" t="str">
            <v>REME LTDA</v>
          </cell>
          <cell r="D612">
            <v>830007531</v>
          </cell>
        </row>
        <row r="613">
          <cell r="A613">
            <v>1076360</v>
          </cell>
          <cell r="B613" t="str">
            <v>CAQUIMBO V ALBERT</v>
          </cell>
          <cell r="D613">
            <v>12207101</v>
          </cell>
        </row>
        <row r="614">
          <cell r="A614">
            <v>1076467</v>
          </cell>
          <cell r="B614" t="str">
            <v>MELUK OROZCO SILVIA</v>
          </cell>
          <cell r="D614">
            <v>52150566</v>
          </cell>
        </row>
        <row r="615">
          <cell r="A615">
            <v>1076539</v>
          </cell>
          <cell r="B615" t="str">
            <v>ESPAÑA H. HENRY</v>
          </cell>
          <cell r="D615">
            <v>12118735</v>
          </cell>
        </row>
        <row r="616">
          <cell r="A616">
            <v>1076540</v>
          </cell>
          <cell r="B616" t="str">
            <v>COMERCIALIZADORA HIERROS Y</v>
          </cell>
          <cell r="D616">
            <v>830026716</v>
          </cell>
        </row>
        <row r="617">
          <cell r="A617">
            <v>1077569</v>
          </cell>
          <cell r="B617" t="str">
            <v>TECNIFIL LTDA</v>
          </cell>
          <cell r="D617">
            <v>860527527</v>
          </cell>
        </row>
        <row r="618">
          <cell r="A618">
            <v>1079389</v>
          </cell>
          <cell r="B618" t="str">
            <v>LOPEZ Z DUVAN-SPORTS LINE</v>
          </cell>
          <cell r="C618" t="str">
            <v>TORRE A LOCAL 128</v>
          </cell>
          <cell r="D618">
            <v>7687898</v>
          </cell>
        </row>
        <row r="619">
          <cell r="A619">
            <v>1079462</v>
          </cell>
          <cell r="B619" t="str">
            <v>ANDRADE C ALBEIRO</v>
          </cell>
          <cell r="D619">
            <v>7705354</v>
          </cell>
        </row>
        <row r="620">
          <cell r="A620">
            <v>1079620</v>
          </cell>
          <cell r="B620" t="str">
            <v>BALLESTEROS H OSCAR</v>
          </cell>
          <cell r="D620">
            <v>80355875</v>
          </cell>
        </row>
        <row r="621">
          <cell r="A621">
            <v>1079703</v>
          </cell>
          <cell r="B621" t="str">
            <v>FERRETERIA DISTUVAL</v>
          </cell>
          <cell r="D621">
            <v>800081221</v>
          </cell>
        </row>
        <row r="622">
          <cell r="A622">
            <v>1079969</v>
          </cell>
          <cell r="B622" t="str">
            <v>POVEDA P RICARDO HUMBERTO</v>
          </cell>
          <cell r="D622">
            <v>12111986</v>
          </cell>
        </row>
        <row r="623">
          <cell r="A623">
            <v>1081486</v>
          </cell>
          <cell r="B623" t="str">
            <v>CORTES E GERMAN</v>
          </cell>
          <cell r="D623">
            <v>3068570</v>
          </cell>
        </row>
        <row r="624">
          <cell r="A624">
            <v>1082300</v>
          </cell>
          <cell r="B624" t="str">
            <v>ORDOCOL-RAFAEL ORDONEZ</v>
          </cell>
          <cell r="D624">
            <v>860516889</v>
          </cell>
        </row>
        <row r="625">
          <cell r="A625">
            <v>1082311</v>
          </cell>
          <cell r="B625" t="str">
            <v>IMAGEN VIRTUAL</v>
          </cell>
          <cell r="D625">
            <v>800193477</v>
          </cell>
        </row>
        <row r="626">
          <cell r="A626">
            <v>1082323</v>
          </cell>
          <cell r="B626" t="str">
            <v>ANGARITA L HECTOR HERNANDO</v>
          </cell>
          <cell r="D626">
            <v>14237377</v>
          </cell>
        </row>
        <row r="627">
          <cell r="A627">
            <v>1082361</v>
          </cell>
          <cell r="B627" t="str">
            <v>GILBERTO NARANJO</v>
          </cell>
          <cell r="D627">
            <v>79130197</v>
          </cell>
        </row>
        <row r="628">
          <cell r="A628">
            <v>1082362</v>
          </cell>
          <cell r="B628" t="str">
            <v>JAMES CHAPARRO</v>
          </cell>
          <cell r="D628">
            <v>79325565</v>
          </cell>
        </row>
        <row r="629">
          <cell r="A629">
            <v>1082401</v>
          </cell>
          <cell r="B629" t="str">
            <v>SUPER RENT DE COLOMBIA S A</v>
          </cell>
          <cell r="D629">
            <v>800215846</v>
          </cell>
        </row>
        <row r="630">
          <cell r="A630">
            <v>1082440</v>
          </cell>
          <cell r="B630" t="str">
            <v>CASYA SERVICIOS AMBIENTALES</v>
          </cell>
          <cell r="D630">
            <v>800176584</v>
          </cell>
        </row>
        <row r="631">
          <cell r="A631">
            <v>1082452</v>
          </cell>
          <cell r="B631" t="str">
            <v>FLORINDA SOLER BUITRAGO</v>
          </cell>
          <cell r="D631">
            <v>39948203</v>
          </cell>
        </row>
        <row r="632">
          <cell r="A632">
            <v>1084313</v>
          </cell>
          <cell r="B632" t="str">
            <v>BIO PROTECCION</v>
          </cell>
          <cell r="D632">
            <v>830027112</v>
          </cell>
        </row>
        <row r="633">
          <cell r="A633">
            <v>1084391</v>
          </cell>
          <cell r="B633" t="str">
            <v>BONILLA G PEDRO GIL</v>
          </cell>
          <cell r="D633">
            <v>12120690</v>
          </cell>
        </row>
        <row r="634">
          <cell r="A634">
            <v>1084392</v>
          </cell>
          <cell r="B634" t="str">
            <v>MARTINEZ FERNANDO</v>
          </cell>
          <cell r="D634">
            <v>12641125</v>
          </cell>
        </row>
        <row r="635">
          <cell r="A635">
            <v>1084394</v>
          </cell>
          <cell r="B635" t="str">
            <v>ECOMARKET LTDA</v>
          </cell>
          <cell r="D635">
            <v>800013879</v>
          </cell>
        </row>
        <row r="636">
          <cell r="A636">
            <v>1084396</v>
          </cell>
          <cell r="B636" t="str">
            <v>ECCONTSISTEMAS LIMITADA</v>
          </cell>
          <cell r="D636">
            <v>800225719</v>
          </cell>
        </row>
        <row r="637">
          <cell r="A637">
            <v>1084399</v>
          </cell>
          <cell r="B637" t="str">
            <v>MAZ MOTOR LTDA</v>
          </cell>
          <cell r="D637">
            <v>830021532</v>
          </cell>
        </row>
        <row r="638">
          <cell r="A638">
            <v>1084453</v>
          </cell>
          <cell r="B638" t="str">
            <v>THOMAS WILLIAN ANDERSON</v>
          </cell>
          <cell r="D638">
            <v>600053289</v>
          </cell>
        </row>
        <row r="639">
          <cell r="A639">
            <v>1084458</v>
          </cell>
          <cell r="B639" t="str">
            <v>TALLERES RINCON Y SERRANO LTDA</v>
          </cell>
          <cell r="D639">
            <v>800103644</v>
          </cell>
        </row>
        <row r="640">
          <cell r="A640">
            <v>1084482</v>
          </cell>
          <cell r="B640" t="str">
            <v>ALVAREZ GOMEZ ASOCIADOS LTDA</v>
          </cell>
          <cell r="D640">
            <v>891102161</v>
          </cell>
        </row>
        <row r="641">
          <cell r="A641">
            <v>1084627</v>
          </cell>
          <cell r="B641" t="str">
            <v>CORPORACION DE EMPLEADOS PETROLEROS</v>
          </cell>
          <cell r="D641">
            <v>890270010</v>
          </cell>
        </row>
        <row r="642">
          <cell r="A642">
            <v>1084676</v>
          </cell>
          <cell r="B642" t="str">
            <v>ING BARINGS</v>
          </cell>
          <cell r="D642">
            <v>830061949</v>
          </cell>
        </row>
        <row r="643">
          <cell r="A643">
            <v>1084687</v>
          </cell>
          <cell r="B643" t="str">
            <v>HERNANDEZ GIRON ALVARO</v>
          </cell>
          <cell r="D643">
            <v>19325479</v>
          </cell>
        </row>
        <row r="644">
          <cell r="A644">
            <v>1084788</v>
          </cell>
          <cell r="B644" t="str">
            <v>SOTO ANA SILVIA-CARPAS ETERNA</v>
          </cell>
          <cell r="D644">
            <v>36154006</v>
          </cell>
        </row>
        <row r="645">
          <cell r="A645">
            <v>1085081</v>
          </cell>
          <cell r="B645" t="str">
            <v>MENDEZ JIMENEZ HERNAN</v>
          </cell>
          <cell r="D645">
            <v>17145545</v>
          </cell>
        </row>
        <row r="646">
          <cell r="A646">
            <v>1085153</v>
          </cell>
          <cell r="B646" t="str">
            <v>SUMIMARKET LTDA</v>
          </cell>
          <cell r="D646">
            <v>830061050</v>
          </cell>
        </row>
        <row r="647">
          <cell r="A647">
            <v>1085956</v>
          </cell>
          <cell r="B647" t="str">
            <v>BALLESTEROS MARIANO</v>
          </cell>
          <cell r="D647">
            <v>12254446</v>
          </cell>
        </row>
        <row r="648">
          <cell r="A648">
            <v>1085997</v>
          </cell>
          <cell r="B648" t="str">
            <v>GLORIA SANTODOMINGO</v>
          </cell>
          <cell r="D648">
            <v>41549920</v>
          </cell>
        </row>
        <row r="649">
          <cell r="A649">
            <v>1087423</v>
          </cell>
          <cell r="B649" t="str">
            <v>LOPEZ HERNANDEZ RICHAR</v>
          </cell>
          <cell r="D649">
            <v>15025667</v>
          </cell>
        </row>
        <row r="650">
          <cell r="A650">
            <v>1087435</v>
          </cell>
          <cell r="B650" t="str">
            <v>CARVAJAL PULIDO WILLIAM</v>
          </cell>
          <cell r="D650">
            <v>17587273</v>
          </cell>
        </row>
        <row r="651">
          <cell r="A651">
            <v>1087459</v>
          </cell>
          <cell r="B651" t="str">
            <v>ATALANTA S A</v>
          </cell>
          <cell r="D651">
            <v>830014407</v>
          </cell>
        </row>
        <row r="652">
          <cell r="A652">
            <v>1087487</v>
          </cell>
          <cell r="B652" t="str">
            <v>CLUB DE BANQUEROS</v>
          </cell>
          <cell r="D652">
            <v>860038743</v>
          </cell>
        </row>
        <row r="653">
          <cell r="A653">
            <v>1087609</v>
          </cell>
          <cell r="B653" t="str">
            <v>DISTRISERVICIOS VAJD LTDA</v>
          </cell>
          <cell r="D653">
            <v>813005092</v>
          </cell>
        </row>
        <row r="654">
          <cell r="A654">
            <v>1087618</v>
          </cell>
          <cell r="B654" t="str">
            <v>FUNDACION EMPRESA PRIVADA COMPARTIR</v>
          </cell>
          <cell r="D654">
            <v>860090032</v>
          </cell>
        </row>
        <row r="655">
          <cell r="A655">
            <v>1087619</v>
          </cell>
          <cell r="B655" t="str">
            <v>RAFAEL GUTIERREZ D AND CIA LTDA SIA</v>
          </cell>
          <cell r="D655">
            <v>800152130</v>
          </cell>
        </row>
        <row r="656">
          <cell r="A656">
            <v>1087620</v>
          </cell>
          <cell r="B656" t="str">
            <v>FERREASESORES INDUSTRIALES</v>
          </cell>
          <cell r="D656">
            <v>813003711</v>
          </cell>
        </row>
        <row r="657">
          <cell r="A657">
            <v>1087647</v>
          </cell>
          <cell r="B657" t="str">
            <v>EXPANSION DIGITAL</v>
          </cell>
          <cell r="D657">
            <v>830008568</v>
          </cell>
        </row>
        <row r="658">
          <cell r="A658">
            <v>1087648</v>
          </cell>
          <cell r="B658" t="str">
            <v>CARDOSO N CARLOS MAURICIO</v>
          </cell>
          <cell r="D658">
            <v>74859973</v>
          </cell>
        </row>
        <row r="659">
          <cell r="A659">
            <v>1087670</v>
          </cell>
          <cell r="B659" t="str">
            <v>ELECTRO INDUSTRIALES LTDA</v>
          </cell>
          <cell r="D659">
            <v>19376943</v>
          </cell>
        </row>
        <row r="660">
          <cell r="A660">
            <v>1087676</v>
          </cell>
          <cell r="B660" t="str">
            <v>HERNANDEZ MONTALVO ARMANDO</v>
          </cell>
          <cell r="D660">
            <v>13821434</v>
          </cell>
        </row>
        <row r="661">
          <cell r="A661">
            <v>1087734</v>
          </cell>
          <cell r="B661" t="str">
            <v>ASSOCIATION OF BRITISH CHARITY FOR</v>
          </cell>
          <cell r="D661">
            <v>860016319</v>
          </cell>
        </row>
        <row r="662">
          <cell r="A662">
            <v>1087828</v>
          </cell>
          <cell r="B662" t="str">
            <v>DIAZ VELEZ DIANA PATRICIA</v>
          </cell>
          <cell r="D662">
            <v>51786763</v>
          </cell>
        </row>
        <row r="663">
          <cell r="A663">
            <v>1087897</v>
          </cell>
          <cell r="B663" t="str">
            <v>TECNIMOTOSIERRAS DEL CASANARE</v>
          </cell>
          <cell r="D663">
            <v>47433163</v>
          </cell>
        </row>
        <row r="664">
          <cell r="A664">
            <v>1087941</v>
          </cell>
          <cell r="B664" t="str">
            <v>GONZALEZ M AUGUSTO MEDARDO - HOTEL</v>
          </cell>
          <cell r="D664">
            <v>68077810</v>
          </cell>
        </row>
        <row r="665">
          <cell r="A665">
            <v>1087998</v>
          </cell>
          <cell r="B665" t="str">
            <v>PANALPINA SA</v>
          </cell>
          <cell r="D665">
            <v>860006928</v>
          </cell>
        </row>
        <row r="666">
          <cell r="A666">
            <v>1088650</v>
          </cell>
          <cell r="B666" t="str">
            <v>SIERRA PENA CLARA INES</v>
          </cell>
          <cell r="D666">
            <v>26521433</v>
          </cell>
        </row>
        <row r="667">
          <cell r="A667">
            <v>1089115</v>
          </cell>
          <cell r="B667" t="str">
            <v>MARTINEZ CORREDOR YOLANDA FABRICA</v>
          </cell>
          <cell r="D667">
            <v>39701822</v>
          </cell>
        </row>
        <row r="668">
          <cell r="A668">
            <v>1089261</v>
          </cell>
          <cell r="B668" t="str">
            <v>DIAZ BELTRAN JUAN ALONSO</v>
          </cell>
          <cell r="D668">
            <v>19120929</v>
          </cell>
        </row>
        <row r="669">
          <cell r="A669">
            <v>1089298</v>
          </cell>
          <cell r="B669" t="str">
            <v>RAMIREZ M DANIEL FERNANDO</v>
          </cell>
          <cell r="D669">
            <v>7301107</v>
          </cell>
        </row>
        <row r="670">
          <cell r="A670">
            <v>1089300</v>
          </cell>
          <cell r="B670" t="str">
            <v>DAZA C HEIVER MANUEL-MONTACARGAS</v>
          </cell>
          <cell r="D670">
            <v>19498585</v>
          </cell>
        </row>
        <row r="671">
          <cell r="A671">
            <v>1089471</v>
          </cell>
          <cell r="B671" t="str">
            <v>CORPORACION AUTONOMA REGIONAL DEL</v>
          </cell>
          <cell r="D671">
            <v>800255580</v>
          </cell>
        </row>
        <row r="672">
          <cell r="A672">
            <v>1089480</v>
          </cell>
          <cell r="B672" t="str">
            <v>OSUNA AVILA HECTOR HERNANDO</v>
          </cell>
          <cell r="D672">
            <v>19330091</v>
          </cell>
        </row>
        <row r="673">
          <cell r="A673">
            <v>1089628</v>
          </cell>
          <cell r="B673" t="str">
            <v>SUPERCONO LTDA</v>
          </cell>
          <cell r="D673">
            <v>800106044</v>
          </cell>
        </row>
        <row r="674">
          <cell r="A674">
            <v>1089679</v>
          </cell>
          <cell r="B674" t="str">
            <v>SANCHEZ JOSE FRANCISCO</v>
          </cell>
          <cell r="D674">
            <v>4228192</v>
          </cell>
        </row>
        <row r="675">
          <cell r="A675">
            <v>1089743</v>
          </cell>
          <cell r="B675" t="str">
            <v>ZZZCOLOMBIA PETROLEUM SERVICES CORP</v>
          </cell>
          <cell r="D675">
            <v>39791135</v>
          </cell>
        </row>
        <row r="676">
          <cell r="A676">
            <v>1089758</v>
          </cell>
          <cell r="B676" t="str">
            <v>INGESUELOS LTDA</v>
          </cell>
          <cell r="D676">
            <v>813002887</v>
          </cell>
        </row>
        <row r="677">
          <cell r="A677">
            <v>1089795</v>
          </cell>
          <cell r="B677" t="str">
            <v>PANAMERICANA S A</v>
          </cell>
          <cell r="D677">
            <v>830037946</v>
          </cell>
        </row>
        <row r="678">
          <cell r="A678">
            <v>1089806</v>
          </cell>
          <cell r="B678" t="str">
            <v>IMPORTACIONES FRENTE AL 2000</v>
          </cell>
          <cell r="D678">
            <v>830050392</v>
          </cell>
        </row>
        <row r="679">
          <cell r="A679">
            <v>1089849</v>
          </cell>
          <cell r="B679" t="str">
            <v>MARTHA LUCIA C GONZALEZ</v>
          </cell>
          <cell r="D679">
            <v>39650960</v>
          </cell>
        </row>
        <row r="680">
          <cell r="A680">
            <v>1089855</v>
          </cell>
          <cell r="B680" t="str">
            <v>SANTAMARIA JOSE JESUS</v>
          </cell>
          <cell r="D680">
            <v>18187831</v>
          </cell>
        </row>
        <row r="681">
          <cell r="A681">
            <v>1089856</v>
          </cell>
          <cell r="B681" t="str">
            <v>JAGUTI LTDA</v>
          </cell>
          <cell r="D681">
            <v>800234957</v>
          </cell>
        </row>
        <row r="682">
          <cell r="A682">
            <v>1089940</v>
          </cell>
          <cell r="B682" t="str">
            <v>PARKER DRILLING CO INTERNATIONAL</v>
          </cell>
          <cell r="D682">
            <v>800061948</v>
          </cell>
        </row>
        <row r="683">
          <cell r="A683">
            <v>1090005</v>
          </cell>
          <cell r="B683" t="str">
            <v>PASCUAS ROJAS TIMOTEO</v>
          </cell>
          <cell r="D683">
            <v>832211142</v>
          </cell>
        </row>
        <row r="684">
          <cell r="A684">
            <v>1090006</v>
          </cell>
          <cell r="B684" t="str">
            <v>CAICEDO MARTINEZ HAROLD GIOVANNI</v>
          </cell>
          <cell r="D684">
            <v>77128502</v>
          </cell>
        </row>
        <row r="685">
          <cell r="A685">
            <v>1090131</v>
          </cell>
          <cell r="B685" t="str">
            <v>CABRERA LOZANO NAPOLEON</v>
          </cell>
          <cell r="D685">
            <v>12133962</v>
          </cell>
        </row>
        <row r="686">
          <cell r="A686">
            <v>1090235</v>
          </cell>
          <cell r="B686" t="str">
            <v>FORZA LIMITADA</v>
          </cell>
          <cell r="D686">
            <v>800108358</v>
          </cell>
        </row>
        <row r="687">
          <cell r="A687">
            <v>1090274</v>
          </cell>
          <cell r="B687" t="str">
            <v>SIA LTDA</v>
          </cell>
          <cell r="D687">
            <v>830057750</v>
          </cell>
        </row>
        <row r="688">
          <cell r="A688">
            <v>1090384</v>
          </cell>
          <cell r="B688" t="str">
            <v>GIRALDO PASTRANA JOSE RODRIGO</v>
          </cell>
          <cell r="D688">
            <v>79542483</v>
          </cell>
        </row>
        <row r="689">
          <cell r="A689">
            <v>1090388</v>
          </cell>
          <cell r="B689" t="str">
            <v>VALENTIN VARGAS G</v>
          </cell>
          <cell r="D689">
            <v>800039017</v>
          </cell>
        </row>
        <row r="690">
          <cell r="A690">
            <v>1090389</v>
          </cell>
          <cell r="B690" t="str">
            <v>FIGUEROA JOSE ELIECER</v>
          </cell>
          <cell r="D690">
            <v>12125788</v>
          </cell>
        </row>
        <row r="691">
          <cell r="A691">
            <v>1090390</v>
          </cell>
          <cell r="B691" t="str">
            <v>SATISABAL AZUERO MARIO</v>
          </cell>
          <cell r="D691">
            <v>7691640</v>
          </cell>
        </row>
        <row r="692">
          <cell r="A692">
            <v>1090479</v>
          </cell>
          <cell r="B692" t="str">
            <v>R AND R AUTO PARTES WILLIAM ROJAS</v>
          </cell>
          <cell r="D692">
            <v>19410686</v>
          </cell>
        </row>
        <row r="693">
          <cell r="A693">
            <v>1090522</v>
          </cell>
          <cell r="B693" t="str">
            <v>TITAN ALQUILER EQUIPOS</v>
          </cell>
          <cell r="D693">
            <v>17120475</v>
          </cell>
        </row>
        <row r="694">
          <cell r="A694">
            <v>1090623</v>
          </cell>
          <cell r="B694" t="str">
            <v>LUIS PENA</v>
          </cell>
          <cell r="D694">
            <v>86055836</v>
          </cell>
        </row>
        <row r="695">
          <cell r="A695">
            <v>1090669</v>
          </cell>
          <cell r="B695" t="str">
            <v>QUINTERO CECILIA</v>
          </cell>
          <cell r="D695">
            <v>36163688</v>
          </cell>
        </row>
        <row r="696">
          <cell r="A696">
            <v>1090695</v>
          </cell>
          <cell r="B696" t="str">
            <v>INVERSIONES ROMERO MARTINEZ LTDA</v>
          </cell>
          <cell r="C696" t="str">
            <v>CENTRO COMERCIAL GRANAHORRAR LOCAL</v>
          </cell>
          <cell r="D696">
            <v>830063344</v>
          </cell>
        </row>
        <row r="697">
          <cell r="A697">
            <v>1090702</v>
          </cell>
          <cell r="B697" t="str">
            <v>LABORATORIO DIESEL CONTINENTAL LTDA</v>
          </cell>
          <cell r="D697">
            <v>800028742</v>
          </cell>
        </row>
        <row r="698">
          <cell r="A698">
            <v>1090887</v>
          </cell>
          <cell r="B698" t="str">
            <v>QUIRURGICOS LTDA</v>
          </cell>
          <cell r="D698">
            <v>860024862</v>
          </cell>
        </row>
        <row r="699">
          <cell r="A699">
            <v>1090888</v>
          </cell>
          <cell r="B699" t="str">
            <v>JLA Y CIA LTDA-HORGE LUIS ARANGO</v>
          </cell>
          <cell r="D699">
            <v>800012341</v>
          </cell>
        </row>
        <row r="700">
          <cell r="A700">
            <v>1090889</v>
          </cell>
          <cell r="B700" t="str">
            <v>CIL CASTRO INGENIEROS LTDA</v>
          </cell>
          <cell r="D700">
            <v>891105111</v>
          </cell>
        </row>
        <row r="701">
          <cell r="A701">
            <v>1090890</v>
          </cell>
          <cell r="B701" t="str">
            <v>HOTEL EL LAGO</v>
          </cell>
          <cell r="D701">
            <v>12098676</v>
          </cell>
        </row>
        <row r="702">
          <cell r="A702">
            <v>1090891</v>
          </cell>
          <cell r="B702" t="str">
            <v>ESTRADA ELIDA CLARA</v>
          </cell>
          <cell r="D702">
            <v>41438618</v>
          </cell>
        </row>
        <row r="703">
          <cell r="A703">
            <v>1090931</v>
          </cell>
          <cell r="B703" t="str">
            <v>GRIFFITH SA</v>
          </cell>
          <cell r="D703">
            <v>890917465</v>
          </cell>
        </row>
        <row r="704">
          <cell r="A704">
            <v>1091009</v>
          </cell>
          <cell r="B704" t="str">
            <v>INSTITUCIONES Y SERVICIOS LTDA</v>
          </cell>
          <cell r="D704">
            <v>800068797</v>
          </cell>
        </row>
        <row r="705">
          <cell r="A705">
            <v>1091010</v>
          </cell>
          <cell r="B705" t="str">
            <v>COMERCIALIZADORA DAEL S DE H</v>
          </cell>
          <cell r="D705">
            <v>813005261</v>
          </cell>
        </row>
        <row r="706">
          <cell r="A706">
            <v>1091091</v>
          </cell>
          <cell r="B706" t="str">
            <v>HERRAMIENTAS Y TORNILLOS</v>
          </cell>
          <cell r="D706">
            <v>95320020</v>
          </cell>
        </row>
        <row r="707">
          <cell r="A707">
            <v>1091341</v>
          </cell>
          <cell r="B707" t="str">
            <v>SKANDIA ADMINISTRADORA/FONDO</v>
          </cell>
          <cell r="D707">
            <v>800148514</v>
          </cell>
        </row>
        <row r="708">
          <cell r="A708">
            <v>1091363</v>
          </cell>
          <cell r="B708" t="str">
            <v>HELIODORO ESTEBAN PULIDO</v>
          </cell>
          <cell r="D708">
            <v>912752703</v>
          </cell>
        </row>
        <row r="709">
          <cell r="A709">
            <v>1091387</v>
          </cell>
          <cell r="B709" t="str">
            <v>FIZA LTDA</v>
          </cell>
          <cell r="D709">
            <v>860450913</v>
          </cell>
        </row>
        <row r="710">
          <cell r="A710">
            <v>1091453</v>
          </cell>
          <cell r="B710" t="str">
            <v>VARICHEM DE COLOMBIA G E P S INC</v>
          </cell>
          <cell r="D710">
            <v>930020109</v>
          </cell>
        </row>
        <row r="711">
          <cell r="A711">
            <v>1091454</v>
          </cell>
          <cell r="B711" t="str">
            <v>N L CONTAPA S A</v>
          </cell>
          <cell r="D711">
            <v>800160878</v>
          </cell>
        </row>
        <row r="712">
          <cell r="A712">
            <v>1091475</v>
          </cell>
          <cell r="B712" t="str">
            <v>CONALSER LTDA</v>
          </cell>
          <cell r="D712">
            <v>800046223</v>
          </cell>
        </row>
        <row r="713">
          <cell r="A713">
            <v>1091585</v>
          </cell>
          <cell r="B713" t="str">
            <v>SERVITEL DE LA 23</v>
          </cell>
          <cell r="D713">
            <v>51609508</v>
          </cell>
        </row>
        <row r="714">
          <cell r="A714">
            <v>1091611</v>
          </cell>
          <cell r="B714" t="str">
            <v>ESDOCAS LTDA</v>
          </cell>
          <cell r="D714">
            <v>800180849</v>
          </cell>
        </row>
        <row r="715">
          <cell r="A715">
            <v>1091612</v>
          </cell>
          <cell r="B715" t="str">
            <v>HOTEL LA CASCADA SA</v>
          </cell>
          <cell r="D715">
            <v>890601336</v>
          </cell>
        </row>
        <row r="716">
          <cell r="A716">
            <v>1091639</v>
          </cell>
          <cell r="B716" t="str">
            <v>HOTEL DEL LLANO</v>
          </cell>
          <cell r="D716">
            <v>96522333</v>
          </cell>
        </row>
        <row r="717">
          <cell r="A717">
            <v>1091773</v>
          </cell>
          <cell r="B717" t="str">
            <v>DRESSER SERVICES</v>
          </cell>
          <cell r="D717">
            <v>860571534</v>
          </cell>
        </row>
        <row r="718">
          <cell r="A718">
            <v>1091780</v>
          </cell>
          <cell r="B718" t="str">
            <v>JOHN CRANE - SUC DE BUNDY COLOMBIA</v>
          </cell>
          <cell r="D718">
            <v>860029488</v>
          </cell>
        </row>
        <row r="719">
          <cell r="A719">
            <v>1091786</v>
          </cell>
          <cell r="B719" t="str">
            <v>PROVEEDOR AND SERCARGA SA</v>
          </cell>
          <cell r="D719">
            <v>860016819</v>
          </cell>
        </row>
        <row r="720">
          <cell r="A720">
            <v>1092010</v>
          </cell>
          <cell r="B720" t="str">
            <v>TRANS PREMIER LTDA</v>
          </cell>
          <cell r="D720">
            <v>800210313</v>
          </cell>
        </row>
        <row r="721">
          <cell r="A721">
            <v>1092053</v>
          </cell>
          <cell r="B721" t="str">
            <v>CRUZ MILLER ALFONSO</v>
          </cell>
          <cell r="D721">
            <v>74845794</v>
          </cell>
        </row>
        <row r="722">
          <cell r="A722">
            <v>1092073</v>
          </cell>
          <cell r="B722" t="str">
            <v>CARLOS VELASCO PEÑA</v>
          </cell>
          <cell r="D722">
            <v>17135321</v>
          </cell>
        </row>
        <row r="723">
          <cell r="A723">
            <v>1092074</v>
          </cell>
          <cell r="B723" t="str">
            <v>GABRIEL PORRAS E HIJOS LTDA</v>
          </cell>
          <cell r="D723">
            <v>800114454</v>
          </cell>
        </row>
        <row r="724">
          <cell r="A724">
            <v>1092471</v>
          </cell>
          <cell r="B724" t="str">
            <v>IMCO LTDA</v>
          </cell>
          <cell r="D724">
            <v>829000201</v>
          </cell>
        </row>
        <row r="725">
          <cell r="A725">
            <v>1092715</v>
          </cell>
          <cell r="B725" t="str">
            <v>SILVA VARON AND ASOCIADOS SA</v>
          </cell>
          <cell r="D725">
            <v>830009236</v>
          </cell>
        </row>
        <row r="726">
          <cell r="A726">
            <v>1092741</v>
          </cell>
          <cell r="B726" t="str">
            <v>SOTO BARREIRO JAVIER</v>
          </cell>
          <cell r="D726">
            <v>12137925</v>
          </cell>
        </row>
        <row r="727">
          <cell r="A727">
            <v>1094211</v>
          </cell>
          <cell r="B727" t="str">
            <v>LECOMEX</v>
          </cell>
          <cell r="D727">
            <v>860042690</v>
          </cell>
        </row>
        <row r="728">
          <cell r="A728">
            <v>1094241</v>
          </cell>
          <cell r="B728" t="str">
            <v>ASOC COLOMBIANA DE GEOLOGOS Y</v>
          </cell>
          <cell r="D728">
            <v>860043308</v>
          </cell>
        </row>
        <row r="729">
          <cell r="A729">
            <v>1094391</v>
          </cell>
          <cell r="B729" t="str">
            <v>COLFONDOS PENSIONES Y CESANTIAS</v>
          </cell>
          <cell r="D729">
            <v>800198644</v>
          </cell>
        </row>
        <row r="730">
          <cell r="A730">
            <v>1094443</v>
          </cell>
          <cell r="B730" t="str">
            <v>COMPLEJO TURISTICO DEL ESPINAL SA</v>
          </cell>
          <cell r="D730">
            <v>890702262</v>
          </cell>
        </row>
        <row r="731">
          <cell r="A731">
            <v>1094533</v>
          </cell>
          <cell r="B731" t="str">
            <v>TECNIAGUAS INDUSTRIAL Y COMERCIAL</v>
          </cell>
          <cell r="D731">
            <v>830042687</v>
          </cell>
        </row>
        <row r="732">
          <cell r="A732">
            <v>1094687</v>
          </cell>
          <cell r="B732" t="str">
            <v>LOZADA P GERMAN</v>
          </cell>
          <cell r="D732">
            <v>4946174</v>
          </cell>
        </row>
        <row r="733">
          <cell r="A733">
            <v>1094688</v>
          </cell>
          <cell r="B733" t="str">
            <v>CORPORACION CLUB DE EJECUTIVOS</v>
          </cell>
          <cell r="D733">
            <v>800076753</v>
          </cell>
        </row>
        <row r="734">
          <cell r="A734">
            <v>1094713</v>
          </cell>
          <cell r="B734" t="str">
            <v>LUIS EDUARDO GARCIA-GLORIAS PATRIAS</v>
          </cell>
          <cell r="D734">
            <v>6745480</v>
          </cell>
        </row>
        <row r="735">
          <cell r="A735">
            <v>1094751</v>
          </cell>
          <cell r="B735" t="str">
            <v>CAFE ATLANTICO LTDA</v>
          </cell>
          <cell r="D735">
            <v>830030746</v>
          </cell>
        </row>
        <row r="736">
          <cell r="A736">
            <v>1094752</v>
          </cell>
          <cell r="B736" t="str">
            <v>HELITAXI LTDA</v>
          </cell>
          <cell r="C736" t="str">
            <v>NUEVA ZONA AVIACION GENERAL ANGAR</v>
          </cell>
          <cell r="D736">
            <v>860510672</v>
          </cell>
        </row>
        <row r="737">
          <cell r="A737">
            <v>1094879</v>
          </cell>
          <cell r="B737" t="str">
            <v>FILTRONIX LTDA</v>
          </cell>
          <cell r="D737">
            <v>800058860</v>
          </cell>
        </row>
        <row r="738">
          <cell r="A738">
            <v>1094937</v>
          </cell>
          <cell r="B738" t="str">
            <v>DURAN BADOVINAC ERNESTO</v>
          </cell>
          <cell r="D738">
            <v>79783620</v>
          </cell>
        </row>
        <row r="739">
          <cell r="A739">
            <v>1095057</v>
          </cell>
          <cell r="B739" t="str">
            <v>CLUB SOCIAL ECOPETROL</v>
          </cell>
          <cell r="D739">
            <v>860015767</v>
          </cell>
        </row>
        <row r="740">
          <cell r="A740">
            <v>1095104</v>
          </cell>
          <cell r="B740" t="str">
            <v>PROGEN SA</v>
          </cell>
          <cell r="D740">
            <v>860016310</v>
          </cell>
        </row>
        <row r="741">
          <cell r="A741">
            <v>1095108</v>
          </cell>
          <cell r="B741" t="str">
            <v>NEVA JOAQUIN HERNANDO</v>
          </cell>
          <cell r="D741">
            <v>79235825</v>
          </cell>
        </row>
        <row r="742">
          <cell r="A742">
            <v>1095205</v>
          </cell>
          <cell r="B742" t="str">
            <v>AMERICAN WOMENS CLUB OF BOGOTA</v>
          </cell>
          <cell r="D742">
            <v>850016375</v>
          </cell>
        </row>
        <row r="743">
          <cell r="A743">
            <v>1095246</v>
          </cell>
          <cell r="B743" t="str">
            <v>FELIZ A CUTA RODRIGUEZ</v>
          </cell>
          <cell r="D743">
            <v>9656288</v>
          </cell>
        </row>
        <row r="744">
          <cell r="A744">
            <v>1095266</v>
          </cell>
          <cell r="B744" t="str">
            <v>AMBORCO SA ESP</v>
          </cell>
          <cell r="D744">
            <v>813000151</v>
          </cell>
        </row>
        <row r="745">
          <cell r="A745">
            <v>1095281</v>
          </cell>
          <cell r="B745" t="str">
            <v>RIVERA JOSE EUSTASIO</v>
          </cell>
          <cell r="D745">
            <v>17630800</v>
          </cell>
        </row>
        <row r="746">
          <cell r="A746">
            <v>1095377</v>
          </cell>
          <cell r="B746" t="str">
            <v>TOTAL SUPPORT LTDA</v>
          </cell>
          <cell r="D746">
            <v>830055430</v>
          </cell>
        </row>
        <row r="747">
          <cell r="A747">
            <v>1095435</v>
          </cell>
          <cell r="B747" t="str">
            <v>TRANSPORTES MUDANZAS CHICO LTDA</v>
          </cell>
          <cell r="D747">
            <v>800172158</v>
          </cell>
        </row>
        <row r="748">
          <cell r="A748">
            <v>1095444</v>
          </cell>
          <cell r="B748" t="str">
            <v>DAVILA MORALES DIDIER</v>
          </cell>
          <cell r="D748">
            <v>6501651</v>
          </cell>
        </row>
        <row r="749">
          <cell r="A749">
            <v>1095445</v>
          </cell>
          <cell r="B749" t="str">
            <v>MORALES JESUS ANTONIO</v>
          </cell>
          <cell r="D749">
            <v>12191360</v>
          </cell>
        </row>
        <row r="750">
          <cell r="A750">
            <v>1095446</v>
          </cell>
          <cell r="B750" t="str">
            <v>SANCHEZ AMPARO</v>
          </cell>
          <cell r="D750">
            <v>36176530</v>
          </cell>
        </row>
        <row r="751">
          <cell r="A751">
            <v>1095554</v>
          </cell>
          <cell r="B751" t="str">
            <v>AYUBI PIMIENTA GERMAN EMILIO</v>
          </cell>
          <cell r="D751">
            <v>19252341</v>
          </cell>
        </row>
        <row r="752">
          <cell r="A752">
            <v>1095597</v>
          </cell>
          <cell r="B752" t="str">
            <v>ILUMINAMOS IMAGEN VISUAL</v>
          </cell>
          <cell r="D752">
            <v>800046174</v>
          </cell>
        </row>
        <row r="753">
          <cell r="A753">
            <v>1095612</v>
          </cell>
          <cell r="B753" t="str">
            <v>DACHIARDI JORGE</v>
          </cell>
          <cell r="D753">
            <v>805130565</v>
          </cell>
        </row>
        <row r="754">
          <cell r="A754">
            <v>1096507</v>
          </cell>
          <cell r="B754" t="str">
            <v>GUTIERREZ JUAN MANUEL</v>
          </cell>
          <cell r="D754">
            <v>2874560</v>
          </cell>
        </row>
        <row r="755">
          <cell r="A755">
            <v>1096508</v>
          </cell>
          <cell r="B755" t="str">
            <v>CORRETAJE INMOBILIARIO LTDA</v>
          </cell>
          <cell r="D755">
            <v>800186135</v>
          </cell>
        </row>
        <row r="756">
          <cell r="A756">
            <v>1096762</v>
          </cell>
          <cell r="B756" t="str">
            <v>COMERCIALIZADORA DE QUIMICOS ATLAS</v>
          </cell>
          <cell r="D756">
            <v>800202663</v>
          </cell>
        </row>
        <row r="757">
          <cell r="A757">
            <v>1096954</v>
          </cell>
          <cell r="B757" t="str">
            <v>COLREGISTROS LTDA</v>
          </cell>
          <cell r="D757">
            <v>800100960</v>
          </cell>
        </row>
        <row r="758">
          <cell r="A758">
            <v>1096962</v>
          </cell>
          <cell r="B758" t="str">
            <v>ATAHUALPA POLANCO ILDEFONSO</v>
          </cell>
          <cell r="D758">
            <v>12107798</v>
          </cell>
        </row>
        <row r="759">
          <cell r="A759">
            <v>1096969</v>
          </cell>
          <cell r="B759" t="str">
            <v>ADVISOR SECURITY COMPANY LTDA</v>
          </cell>
          <cell r="D759">
            <v>830068668</v>
          </cell>
        </row>
        <row r="760">
          <cell r="A760">
            <v>1097006</v>
          </cell>
          <cell r="B760" t="str">
            <v>PC MICROS LTDA</v>
          </cell>
          <cell r="D760">
            <v>860403052</v>
          </cell>
        </row>
        <row r="761">
          <cell r="A761">
            <v>1097007</v>
          </cell>
          <cell r="B761" t="str">
            <v>RIVERA ORLANDO-NEIVA FRIO</v>
          </cell>
          <cell r="D761">
            <v>12130298</v>
          </cell>
        </row>
        <row r="762">
          <cell r="A762">
            <v>1097016</v>
          </cell>
          <cell r="B762" t="str">
            <v>INFORMACION Y TECNOLOGIA SA</v>
          </cell>
          <cell r="D762">
            <v>800134978</v>
          </cell>
        </row>
        <row r="763">
          <cell r="A763">
            <v>1097033</v>
          </cell>
          <cell r="B763" t="str">
            <v>CONSTRUDISENOS J M LTDA</v>
          </cell>
          <cell r="C763" t="str">
            <v>AVENIDA LA TOMA #5A-74</v>
          </cell>
          <cell r="D763">
            <v>813000201</v>
          </cell>
        </row>
        <row r="764">
          <cell r="A764">
            <v>1097103</v>
          </cell>
          <cell r="B764" t="str">
            <v>GAITAN GOMEZ RAFAEL ALBERTO</v>
          </cell>
          <cell r="D764">
            <v>800198644</v>
          </cell>
        </row>
        <row r="765">
          <cell r="A765">
            <v>1097330</v>
          </cell>
          <cell r="B765" t="str">
            <v>TRANSPORTES MONTEJO LTDA</v>
          </cell>
          <cell r="C765" t="str">
            <v>TOCANCIPA</v>
          </cell>
          <cell r="D765">
            <v>800035276</v>
          </cell>
        </row>
        <row r="766">
          <cell r="A766">
            <v>1097378</v>
          </cell>
          <cell r="B766" t="str">
            <v>TECHNODRILL LTDA</v>
          </cell>
          <cell r="D766">
            <v>830062393</v>
          </cell>
        </row>
        <row r="767">
          <cell r="A767">
            <v>1097394</v>
          </cell>
          <cell r="B767" t="str">
            <v>CORPORACION DE ACERO CORPACERO</v>
          </cell>
          <cell r="D767">
            <v>800035276</v>
          </cell>
        </row>
        <row r="768">
          <cell r="A768">
            <v>1097412</v>
          </cell>
          <cell r="B768" t="str">
            <v>PROVIDA</v>
          </cell>
          <cell r="D768">
            <v>860058176</v>
          </cell>
        </row>
        <row r="769">
          <cell r="A769">
            <v>1097475</v>
          </cell>
          <cell r="B769" t="str">
            <v>AIRE ACONDICIONADO DE COLOMBIA</v>
          </cell>
          <cell r="D769">
            <v>79794618</v>
          </cell>
        </row>
        <row r="770">
          <cell r="A770">
            <v>1097476</v>
          </cell>
          <cell r="B770" t="str">
            <v>CASTRO RIVEROS RAUL</v>
          </cell>
          <cell r="D770">
            <v>79512531</v>
          </cell>
        </row>
        <row r="771">
          <cell r="A771">
            <v>1097559</v>
          </cell>
          <cell r="B771" t="str">
            <v>TECNITRANSPORTES LTDA</v>
          </cell>
          <cell r="D771">
            <v>23467316</v>
          </cell>
        </row>
        <row r="772">
          <cell r="A772">
            <v>1097566</v>
          </cell>
          <cell r="B772" t="str">
            <v>AGUALIMSU LTDA</v>
          </cell>
          <cell r="D772">
            <v>813001240</v>
          </cell>
        </row>
        <row r="773">
          <cell r="A773">
            <v>1097603</v>
          </cell>
          <cell r="B773" t="str">
            <v>SANDOVAL VEGA FLOR ANGELA</v>
          </cell>
          <cell r="D773">
            <v>23467316</v>
          </cell>
        </row>
        <row r="774">
          <cell r="A774">
            <v>1097623</v>
          </cell>
          <cell r="B774" t="str">
            <v>CUERO LIBARDO</v>
          </cell>
          <cell r="D774">
            <v>5542164</v>
          </cell>
        </row>
        <row r="775">
          <cell r="A775">
            <v>1097624</v>
          </cell>
          <cell r="B775" t="str">
            <v>RODRIGUEZ PARRA CARLOS ALBERTO</v>
          </cell>
          <cell r="D775">
            <v>7686629</v>
          </cell>
        </row>
        <row r="776">
          <cell r="A776">
            <v>1097667</v>
          </cell>
          <cell r="B776" t="str">
            <v>COLPATRIA SALUD</v>
          </cell>
          <cell r="D776">
            <v>860512237</v>
          </cell>
        </row>
        <row r="777">
          <cell r="A777">
            <v>1097810</v>
          </cell>
          <cell r="B777" t="str">
            <v>AUTOSERVIAIRES</v>
          </cell>
          <cell r="D777">
            <v>844000118</v>
          </cell>
        </row>
        <row r="778">
          <cell r="A778">
            <v>1097818</v>
          </cell>
          <cell r="B778" t="str">
            <v>MARTINEZ DAVID</v>
          </cell>
          <cell r="D778">
            <v>19367826</v>
          </cell>
        </row>
        <row r="779">
          <cell r="A779">
            <v>1097865</v>
          </cell>
          <cell r="B779" t="str">
            <v>MUELLES Y RODAMIENTOS DEL SUR</v>
          </cell>
          <cell r="D779">
            <v>813005514</v>
          </cell>
        </row>
        <row r="780">
          <cell r="A780">
            <v>1097867</v>
          </cell>
          <cell r="B780" t="str">
            <v>TARAZONA FRENCH FREDDY</v>
          </cell>
          <cell r="D780">
            <v>79296660</v>
          </cell>
        </row>
        <row r="781">
          <cell r="A781">
            <v>1097937</v>
          </cell>
          <cell r="B781" t="str">
            <v>VILLAMIL CARLOS</v>
          </cell>
          <cell r="D781">
            <v>79570426</v>
          </cell>
        </row>
        <row r="782">
          <cell r="A782">
            <v>1097940</v>
          </cell>
          <cell r="B782" t="str">
            <v>SOLUSOFT DE COLOMBIA</v>
          </cell>
          <cell r="D782">
            <v>830020062</v>
          </cell>
        </row>
        <row r="783">
          <cell r="A783">
            <v>1097943</v>
          </cell>
          <cell r="B783" t="str">
            <v>INCLICOL VALVULAS Y CONEXIONES</v>
          </cell>
          <cell r="D783">
            <v>860056497</v>
          </cell>
        </row>
        <row r="784">
          <cell r="A784">
            <v>1098021</v>
          </cell>
          <cell r="B784" t="str">
            <v>MALAGON NELSON</v>
          </cell>
          <cell r="D784">
            <v>79866236</v>
          </cell>
        </row>
        <row r="785">
          <cell r="A785">
            <v>1098030</v>
          </cell>
          <cell r="B785" t="str">
            <v>DIAZ BERNAL ESILDA - 114368</v>
          </cell>
          <cell r="D785">
            <v>79570426</v>
          </cell>
        </row>
        <row r="786">
          <cell r="A786">
            <v>1098093</v>
          </cell>
          <cell r="B786" t="str">
            <v>ARDILA GONZALEZ ALIRIO</v>
          </cell>
          <cell r="D786">
            <v>12205785</v>
          </cell>
        </row>
        <row r="787">
          <cell r="A787">
            <v>1098151</v>
          </cell>
          <cell r="B787" t="str">
            <v>MULTIPROYECTOS SA</v>
          </cell>
          <cell r="D787">
            <v>860059687</v>
          </cell>
        </row>
        <row r="788">
          <cell r="A788">
            <v>1098167</v>
          </cell>
          <cell r="B788" t="str">
            <v>SANCHEZ JOSE ANTONIO</v>
          </cell>
          <cell r="D788">
            <v>7304018</v>
          </cell>
        </row>
        <row r="789">
          <cell r="A789">
            <v>1098255</v>
          </cell>
          <cell r="B789" t="str">
            <v>SURAMERICANA DE TRANSPORTES SA</v>
          </cell>
          <cell r="D789">
            <v>860052980</v>
          </cell>
        </row>
        <row r="790">
          <cell r="A790">
            <v>1098256</v>
          </cell>
          <cell r="B790" t="str">
            <v>BUELVAS ALEAN AUGUSTO</v>
          </cell>
          <cell r="D790">
            <v>68881628</v>
          </cell>
        </row>
        <row r="791">
          <cell r="A791">
            <v>1098314</v>
          </cell>
          <cell r="B791" t="str">
            <v>ACTUARIOS ASOCIADOS LTDA</v>
          </cell>
          <cell r="D791">
            <v>860042134</v>
          </cell>
        </row>
        <row r="792">
          <cell r="A792">
            <v>1098326</v>
          </cell>
          <cell r="B792" t="str">
            <v>HEREDIA VELANDIA UVALDO</v>
          </cell>
          <cell r="D792">
            <v>9525107</v>
          </cell>
        </row>
        <row r="793">
          <cell r="A793">
            <v>1098327</v>
          </cell>
          <cell r="B793" t="str">
            <v>BUITRAGO HERNANDEZ YOLANDA</v>
          </cell>
          <cell r="D793">
            <v>23554061</v>
          </cell>
        </row>
        <row r="794">
          <cell r="A794">
            <v>1098328</v>
          </cell>
          <cell r="B794" t="str">
            <v>MENDOZA WILLIAM RAMIRO</v>
          </cell>
          <cell r="D794">
            <v>74855050</v>
          </cell>
        </row>
        <row r="795">
          <cell r="A795">
            <v>1098329</v>
          </cell>
          <cell r="B795" t="str">
            <v>HIGH QUALITY ENGINEERING HQC</v>
          </cell>
          <cell r="D795">
            <v>830068550</v>
          </cell>
        </row>
        <row r="796">
          <cell r="A796">
            <v>1098330</v>
          </cell>
          <cell r="B796" t="str">
            <v>POWER LTDA</v>
          </cell>
          <cell r="D796">
            <v>830047594</v>
          </cell>
        </row>
        <row r="797">
          <cell r="A797">
            <v>1098517</v>
          </cell>
          <cell r="B797" t="str">
            <v>TAMAYO MEDINA RICARDO</v>
          </cell>
          <cell r="D797">
            <v>7689079</v>
          </cell>
        </row>
        <row r="798">
          <cell r="A798">
            <v>1098523</v>
          </cell>
          <cell r="B798" t="str">
            <v>PEREZ TRUJILLO FERNANDO ANTONIO</v>
          </cell>
          <cell r="D798">
            <v>12107904</v>
          </cell>
        </row>
        <row r="799">
          <cell r="A799">
            <v>1098524</v>
          </cell>
          <cell r="B799" t="str">
            <v>CUELLAR SILVA EDGAR</v>
          </cell>
          <cell r="D799">
            <v>12110040</v>
          </cell>
        </row>
        <row r="800">
          <cell r="A800">
            <v>1098525</v>
          </cell>
          <cell r="B800" t="str">
            <v>GERARDO BARREIRO BORRERO</v>
          </cell>
          <cell r="D800">
            <v>19210987</v>
          </cell>
        </row>
        <row r="801">
          <cell r="A801">
            <v>1098610</v>
          </cell>
          <cell r="B801" t="str">
            <v>ANTOLINEZ CARRERO JOSE HOLMAN</v>
          </cell>
          <cell r="D801">
            <v>17146981</v>
          </cell>
        </row>
        <row r="802">
          <cell r="A802">
            <v>1098613</v>
          </cell>
          <cell r="B802" t="str">
            <v>INVERSIONES ANGI LTDA</v>
          </cell>
          <cell r="D802">
            <v>860025402</v>
          </cell>
        </row>
        <row r="803">
          <cell r="A803">
            <v>1098657</v>
          </cell>
          <cell r="B803" t="str">
            <v>PALACINO MUNOZ MAURICIO</v>
          </cell>
          <cell r="D803">
            <v>79542742</v>
          </cell>
        </row>
        <row r="804">
          <cell r="A804">
            <v>1098658</v>
          </cell>
          <cell r="B804" t="str">
            <v>RODRIGUEZ MILTON</v>
          </cell>
          <cell r="D804">
            <v>79467051</v>
          </cell>
        </row>
        <row r="805">
          <cell r="A805">
            <v>1098674</v>
          </cell>
          <cell r="B805" t="str">
            <v>PRACTICA LTDA</v>
          </cell>
          <cell r="D805">
            <v>805011877</v>
          </cell>
        </row>
        <row r="806">
          <cell r="A806">
            <v>1098843</v>
          </cell>
          <cell r="B806" t="str">
            <v>GRABADOS METALICOS JAVAL</v>
          </cell>
          <cell r="D806">
            <v>19400832</v>
          </cell>
        </row>
        <row r="807">
          <cell r="A807">
            <v>1098844</v>
          </cell>
          <cell r="B807" t="str">
            <v>CLUB CAMPESTRE DE BUCARAMANGA SA</v>
          </cell>
          <cell r="D807">
            <v>804000601</v>
          </cell>
        </row>
        <row r="808">
          <cell r="A808">
            <v>1098952</v>
          </cell>
          <cell r="B808" t="str">
            <v>ORACLE COLOMBIA LTDA</v>
          </cell>
          <cell r="D808">
            <v>800103052</v>
          </cell>
        </row>
        <row r="809">
          <cell r="A809">
            <v>1098960</v>
          </cell>
          <cell r="B809" t="str">
            <v>MORENO LUIS ALBERTO</v>
          </cell>
          <cell r="D809">
            <v>19248371</v>
          </cell>
        </row>
        <row r="810">
          <cell r="A810">
            <v>1098988</v>
          </cell>
          <cell r="B810" t="str">
            <v>SUMIPAR LTDA</v>
          </cell>
          <cell r="D810">
            <v>800110976</v>
          </cell>
        </row>
        <row r="811">
          <cell r="A811">
            <v>1098989</v>
          </cell>
          <cell r="B811" t="str">
            <v>MEDINA T VANESSA</v>
          </cell>
          <cell r="D811">
            <v>36067779</v>
          </cell>
        </row>
        <row r="812">
          <cell r="A812">
            <v>1098993</v>
          </cell>
          <cell r="B812" t="str">
            <v>GONZALEZ MERCADO AUGUSTO MEDARDO</v>
          </cell>
          <cell r="D812">
            <v>800131145</v>
          </cell>
        </row>
        <row r="813">
          <cell r="A813">
            <v>1099028</v>
          </cell>
          <cell r="B813" t="str">
            <v>MENDOZA MIGUEL</v>
          </cell>
          <cell r="D813">
            <v>800114454</v>
          </cell>
        </row>
        <row r="814">
          <cell r="A814">
            <v>1099030</v>
          </cell>
          <cell r="B814" t="str">
            <v>PROMOTORA CLUB EL NOGAL SA</v>
          </cell>
          <cell r="D814">
            <v>860083135</v>
          </cell>
        </row>
        <row r="815">
          <cell r="A815">
            <v>1099031</v>
          </cell>
          <cell r="B815" t="str">
            <v>PRECIADO M MIGUEL H</v>
          </cell>
          <cell r="D815">
            <v>79100694</v>
          </cell>
        </row>
        <row r="816">
          <cell r="A816">
            <v>1099160</v>
          </cell>
          <cell r="B816" t="str">
            <v>SEGURIDAD HUIGNIC LTDA</v>
          </cell>
          <cell r="D816">
            <v>860043750</v>
          </cell>
        </row>
        <row r="817">
          <cell r="A817">
            <v>1099171</v>
          </cell>
          <cell r="B817" t="str">
            <v>PUNTO DE SERVICIOS SA</v>
          </cell>
          <cell r="D817">
            <v>800160274</v>
          </cell>
        </row>
        <row r="818">
          <cell r="A818">
            <v>1099199</v>
          </cell>
          <cell r="B818" t="str">
            <v>ALMACEN LA GARZA NO2/LUZ DEL CARMEN</v>
          </cell>
          <cell r="D818">
            <v>23271783</v>
          </cell>
        </row>
        <row r="819">
          <cell r="A819">
            <v>1099227</v>
          </cell>
          <cell r="B819" t="str">
            <v>AGUILERA URREGO ANTONIO</v>
          </cell>
          <cell r="D819">
            <v>19182197</v>
          </cell>
        </row>
        <row r="820">
          <cell r="A820">
            <v>1099273</v>
          </cell>
          <cell r="B820" t="str">
            <v>VARGAS BEATRIZ</v>
          </cell>
          <cell r="D820">
            <v>26402281</v>
          </cell>
        </row>
        <row r="821">
          <cell r="A821">
            <v>1099274</v>
          </cell>
          <cell r="B821" t="str">
            <v>ROMERO CLODOMIRO</v>
          </cell>
          <cell r="D821">
            <v>12111928</v>
          </cell>
        </row>
        <row r="822">
          <cell r="A822">
            <v>1099484</v>
          </cell>
          <cell r="B822" t="str">
            <v>MEDINA ORTIZ ZULMA-MANTENIMENTOS</v>
          </cell>
          <cell r="D822">
            <v>55153000</v>
          </cell>
        </row>
        <row r="823">
          <cell r="A823">
            <v>1099511</v>
          </cell>
          <cell r="B823" t="str">
            <v>KUEHNE AND NAGEL</v>
          </cell>
          <cell r="D823">
            <v>800039996</v>
          </cell>
        </row>
        <row r="824">
          <cell r="A824">
            <v>1099614</v>
          </cell>
          <cell r="B824" t="str">
            <v>BUSTOS FLAMINIO</v>
          </cell>
          <cell r="D824">
            <v>17285530</v>
          </cell>
        </row>
        <row r="825">
          <cell r="A825">
            <v>1099664</v>
          </cell>
          <cell r="B825" t="str">
            <v>TOYOPALACIOS</v>
          </cell>
          <cell r="D825">
            <v>2970754</v>
          </cell>
        </row>
        <row r="826">
          <cell r="A826">
            <v>1099665</v>
          </cell>
          <cell r="B826" t="str">
            <v>INVERCUN LTDA</v>
          </cell>
          <cell r="D826">
            <v>800140533</v>
          </cell>
        </row>
        <row r="827">
          <cell r="A827">
            <v>1099783</v>
          </cell>
          <cell r="B827" t="str">
            <v>ESPARRAGOZA LUIS ERNESTO</v>
          </cell>
          <cell r="C827" t="str">
            <v>CALLE 14 NO 14-65 BARRIO MERIDIANO</v>
          </cell>
          <cell r="D827">
            <v>91423955</v>
          </cell>
        </row>
        <row r="828">
          <cell r="A828">
            <v>1099849</v>
          </cell>
          <cell r="B828" t="str">
            <v>ARIAS PEDRAZA HECTOR RAUL</v>
          </cell>
          <cell r="D828">
            <v>91203462</v>
          </cell>
        </row>
        <row r="829">
          <cell r="A829">
            <v>1099936</v>
          </cell>
          <cell r="B829" t="str">
            <v>FILTROS Y LUBRICANTES DEL HUILA</v>
          </cell>
          <cell r="D829">
            <v>813005406</v>
          </cell>
        </row>
        <row r="830">
          <cell r="A830">
            <v>1100112</v>
          </cell>
          <cell r="B830" t="str">
            <v>CORTES G ALEXANDRA DEL PILAR</v>
          </cell>
          <cell r="D830">
            <v>52014940</v>
          </cell>
        </row>
        <row r="831">
          <cell r="A831">
            <v>1100121</v>
          </cell>
          <cell r="B831" t="str">
            <v>PROMISCOL LTDA</v>
          </cell>
          <cell r="D831">
            <v>800139067</v>
          </cell>
        </row>
        <row r="832">
          <cell r="A832">
            <v>1100122</v>
          </cell>
          <cell r="B832" t="str">
            <v>GARIBELO SOSSA ALEJANDRA SOFIA</v>
          </cell>
          <cell r="D832">
            <v>51697161</v>
          </cell>
        </row>
        <row r="833">
          <cell r="A833">
            <v>1100123</v>
          </cell>
          <cell r="B833" t="str">
            <v>SANCHEZ ERICK</v>
          </cell>
          <cell r="D833">
            <v>80051149</v>
          </cell>
        </row>
        <row r="834">
          <cell r="A834">
            <v>1100124</v>
          </cell>
          <cell r="B834" t="str">
            <v>PAVEL SANCHEZ</v>
          </cell>
          <cell r="D834">
            <v>79969619</v>
          </cell>
        </row>
        <row r="835">
          <cell r="A835">
            <v>1100199</v>
          </cell>
          <cell r="B835" t="str">
            <v>DECROMADERAS LTDA</v>
          </cell>
          <cell r="D835">
            <v>860054813</v>
          </cell>
        </row>
        <row r="836">
          <cell r="A836">
            <v>1100200</v>
          </cell>
          <cell r="B836" t="str">
            <v>INTEGRACION EN INFORMATICA Y</v>
          </cell>
          <cell r="D836">
            <v>800212722</v>
          </cell>
        </row>
        <row r="837">
          <cell r="A837">
            <v>1100245</v>
          </cell>
          <cell r="B837" t="str">
            <v>FERNANDEZ CAMARGO JESUS ALBERTO</v>
          </cell>
          <cell r="D837">
            <v>3297357</v>
          </cell>
        </row>
        <row r="838">
          <cell r="A838">
            <v>1100362</v>
          </cell>
          <cell r="B838" t="str">
            <v>ERAZO VALENCIA OLBER FERNANDO</v>
          </cell>
          <cell r="D838">
            <v>79363304</v>
          </cell>
        </row>
        <row r="839">
          <cell r="A839">
            <v>1100443</v>
          </cell>
          <cell r="B839" t="str">
            <v>SANTAMARIA TRASTEOS LTDA</v>
          </cell>
          <cell r="D839">
            <v>800013912</v>
          </cell>
        </row>
        <row r="840">
          <cell r="A840">
            <v>1100444</v>
          </cell>
          <cell r="B840" t="str">
            <v>ARCIMENT ROBERTO OSPINA</v>
          </cell>
          <cell r="D840">
            <v>2911147</v>
          </cell>
        </row>
        <row r="841">
          <cell r="A841">
            <v>1100463</v>
          </cell>
          <cell r="B841" t="str">
            <v>FERRIELECTRICOS - OSCAR GUAJE</v>
          </cell>
          <cell r="D841">
            <v>9525412</v>
          </cell>
        </row>
        <row r="842">
          <cell r="A842">
            <v>1100464</v>
          </cell>
          <cell r="B842" t="str">
            <v>NTS NATIONAL TRUCK SERVICE SA</v>
          </cell>
          <cell r="D842">
            <v>830050404</v>
          </cell>
        </row>
        <row r="843">
          <cell r="A843">
            <v>1100473</v>
          </cell>
          <cell r="B843" t="str">
            <v>FEPCO COL</v>
          </cell>
          <cell r="D843">
            <v>830001114</v>
          </cell>
        </row>
        <row r="844">
          <cell r="A844">
            <v>1100509</v>
          </cell>
          <cell r="B844" t="str">
            <v>A C I E M CUNDINAMARCA</v>
          </cell>
          <cell r="D844">
            <v>860062165</v>
          </cell>
        </row>
        <row r="845">
          <cell r="A845">
            <v>1100794</v>
          </cell>
          <cell r="B845" t="str">
            <v>INMOBILIARIA CECILIA DE DIAZ LTDA</v>
          </cell>
          <cell r="D845">
            <v>804000347</v>
          </cell>
        </row>
        <row r="846">
          <cell r="A846">
            <v>1100802</v>
          </cell>
          <cell r="B846" t="str">
            <v>GONZALEZ G FELIPE</v>
          </cell>
          <cell r="D846">
            <v>5892457</v>
          </cell>
        </row>
        <row r="847">
          <cell r="A847">
            <v>1100804</v>
          </cell>
          <cell r="B847" t="str">
            <v>VEGA DE ROJAS FANNY</v>
          </cell>
          <cell r="D847">
            <v>26413979</v>
          </cell>
        </row>
        <row r="848">
          <cell r="A848">
            <v>1100805</v>
          </cell>
          <cell r="B848" t="str">
            <v>GUTIERREZ LUIS EDUARDO</v>
          </cell>
          <cell r="D848">
            <v>12135319</v>
          </cell>
        </row>
        <row r="849">
          <cell r="A849">
            <v>1100806</v>
          </cell>
          <cell r="B849" t="str">
            <v>TOVAR ALMARIO EVER</v>
          </cell>
          <cell r="D849">
            <v>12116341</v>
          </cell>
        </row>
        <row r="850">
          <cell r="A850">
            <v>1100923</v>
          </cell>
          <cell r="B850" t="str">
            <v>JOHN J CARVAJAL GARCIA</v>
          </cell>
          <cell r="D850">
            <v>7706508</v>
          </cell>
        </row>
        <row r="851">
          <cell r="A851">
            <v>1101089</v>
          </cell>
          <cell r="B851" t="str">
            <v>NARVAEZ NUBIA LILIANA</v>
          </cell>
          <cell r="D851">
            <v>36303047</v>
          </cell>
        </row>
        <row r="852">
          <cell r="A852">
            <v>1101171</v>
          </cell>
          <cell r="B852" t="str">
            <v>EDITORIAL EL GLOBO SA LA REPUBLICA</v>
          </cell>
          <cell r="D852">
            <v>860009759</v>
          </cell>
        </row>
        <row r="853">
          <cell r="A853">
            <v>1101172</v>
          </cell>
          <cell r="B853" t="str">
            <v>EQUIFARMAS LTDA</v>
          </cell>
          <cell r="D853">
            <v>800141049</v>
          </cell>
        </row>
        <row r="854">
          <cell r="A854">
            <v>1101229</v>
          </cell>
          <cell r="B854" t="str">
            <v>EDIFICIO BUENAVISTA PROPIEDAD</v>
          </cell>
          <cell r="D854">
            <v>860054813</v>
          </cell>
        </row>
        <row r="855">
          <cell r="A855">
            <v>1101230</v>
          </cell>
          <cell r="B855" t="str">
            <v>COMPUAULAS LTDA</v>
          </cell>
          <cell r="D855">
            <v>800194840</v>
          </cell>
        </row>
        <row r="856">
          <cell r="A856">
            <v>1101238</v>
          </cell>
          <cell r="B856" t="str">
            <v>CORPORACION CLUB EL NOGAL</v>
          </cell>
          <cell r="D856">
            <v>800180832</v>
          </cell>
        </row>
        <row r="857">
          <cell r="A857">
            <v>1101247</v>
          </cell>
          <cell r="B857" t="str">
            <v>OLIVARES EDGAR RODRIGO</v>
          </cell>
          <cell r="D857">
            <v>19293420</v>
          </cell>
        </row>
        <row r="858">
          <cell r="A858">
            <v>1101307</v>
          </cell>
          <cell r="B858" t="str">
            <v>SERVINSALUD  LTDA</v>
          </cell>
          <cell r="D858">
            <v>800006539</v>
          </cell>
        </row>
        <row r="859">
          <cell r="A859">
            <v>1101338</v>
          </cell>
          <cell r="B859" t="str">
            <v>DATA COMUNICACIONES  LTDA</v>
          </cell>
          <cell r="D859">
            <v>800214483</v>
          </cell>
        </row>
        <row r="860">
          <cell r="A860">
            <v>1101399</v>
          </cell>
          <cell r="B860" t="str">
            <v>PECS PETROMAR DE COLOMBIA LTDA</v>
          </cell>
          <cell r="D860">
            <v>830055357</v>
          </cell>
        </row>
        <row r="861">
          <cell r="A861">
            <v>1101466</v>
          </cell>
          <cell r="B861" t="str">
            <v>CLUB EL NOGAL</v>
          </cell>
          <cell r="D861">
            <v>800180832</v>
          </cell>
        </row>
        <row r="862">
          <cell r="A862">
            <v>1101488</v>
          </cell>
          <cell r="B862" t="str">
            <v>TRANS-TEMARIEL LTDA</v>
          </cell>
          <cell r="D862">
            <v>844001861</v>
          </cell>
        </row>
        <row r="863">
          <cell r="A863">
            <v>1101499</v>
          </cell>
          <cell r="B863" t="str">
            <v>AYUBI PIMIENTA GERMAN</v>
          </cell>
          <cell r="D863">
            <v>19252341</v>
          </cell>
        </row>
        <row r="864">
          <cell r="A864">
            <v>1101529</v>
          </cell>
          <cell r="B864" t="str">
            <v>NABORS DRILLING INTERNATIONAL LTDA</v>
          </cell>
          <cell r="D864">
            <v>830069311</v>
          </cell>
        </row>
        <row r="865">
          <cell r="A865">
            <v>1101543</v>
          </cell>
          <cell r="B865" t="str">
            <v>COMPROIND LTDA</v>
          </cell>
          <cell r="D865">
            <v>800035660</v>
          </cell>
        </row>
        <row r="866">
          <cell r="A866">
            <v>1101544</v>
          </cell>
          <cell r="B866" t="str">
            <v>CORREDOR CARLOS JULIO</v>
          </cell>
          <cell r="D866">
            <v>10225809</v>
          </cell>
        </row>
        <row r="867">
          <cell r="A867">
            <v>1101560</v>
          </cell>
          <cell r="B867" t="str">
            <v>INPERCOL</v>
          </cell>
          <cell r="D867">
            <v>830055516</v>
          </cell>
        </row>
        <row r="868">
          <cell r="A868">
            <v>1101564</v>
          </cell>
          <cell r="B868" t="str">
            <v>DRILLING AND WORKOVER SERVICES LTDA</v>
          </cell>
          <cell r="D868">
            <v>860517534</v>
          </cell>
        </row>
        <row r="869">
          <cell r="A869">
            <v>1101609</v>
          </cell>
          <cell r="B869" t="str">
            <v>ACOSTA HUMBERTO</v>
          </cell>
          <cell r="D869">
            <v>93375825</v>
          </cell>
        </row>
        <row r="870">
          <cell r="A870">
            <v>1101610</v>
          </cell>
          <cell r="B870" t="str">
            <v>PROTECCIONES GEOAMBIENTALES EAT</v>
          </cell>
          <cell r="D870">
            <v>844001717</v>
          </cell>
        </row>
        <row r="871">
          <cell r="A871">
            <v>1101611</v>
          </cell>
          <cell r="B871" t="str">
            <v>TEK-COM TECNICOS EN COMUNICACIONES</v>
          </cell>
          <cell r="D871">
            <v>76966477</v>
          </cell>
        </row>
        <row r="872">
          <cell r="A872">
            <v>1101818</v>
          </cell>
          <cell r="B872" t="str">
            <v>QUINTRADING S A</v>
          </cell>
          <cell r="D872">
            <v>800143939</v>
          </cell>
        </row>
        <row r="873">
          <cell r="A873">
            <v>1101819</v>
          </cell>
          <cell r="B873" t="str">
            <v>GARCIA R GUILLERMO</v>
          </cell>
          <cell r="D873">
            <v>79142816</v>
          </cell>
        </row>
        <row r="874">
          <cell r="A874">
            <v>1101876</v>
          </cell>
          <cell r="B874" t="str">
            <v>MAYATUR SA</v>
          </cell>
          <cell r="D874">
            <v>860015826</v>
          </cell>
        </row>
        <row r="875">
          <cell r="A875">
            <v>1101877</v>
          </cell>
          <cell r="B875" t="str">
            <v>HERNANDO PERDOMO CHAVARRO AND CIA S</v>
          </cell>
          <cell r="D875">
            <v>800088301</v>
          </cell>
        </row>
        <row r="876">
          <cell r="A876">
            <v>1101878</v>
          </cell>
          <cell r="B876" t="str">
            <v>LOZANO JAIRO</v>
          </cell>
          <cell r="D876">
            <v>4228192</v>
          </cell>
        </row>
        <row r="877">
          <cell r="A877">
            <v>1101879</v>
          </cell>
          <cell r="B877" t="str">
            <v>SISTEMAS E INSTRUMENTACION SA - SEI</v>
          </cell>
          <cell r="D877">
            <v>860090404</v>
          </cell>
        </row>
        <row r="878">
          <cell r="A878">
            <v>1101887</v>
          </cell>
          <cell r="B878" t="str">
            <v>FONDO DE EMPLADOS NL INTERNATIONAL</v>
          </cell>
          <cell r="D878">
            <v>830042868</v>
          </cell>
        </row>
        <row r="879">
          <cell r="A879">
            <v>1101895</v>
          </cell>
          <cell r="B879" t="str">
            <v>COOPERATIVA CAFAM</v>
          </cell>
          <cell r="D879">
            <v>860049363</v>
          </cell>
        </row>
        <row r="880">
          <cell r="A880">
            <v>1101906</v>
          </cell>
          <cell r="B880" t="str">
            <v>LA GANADERA DE SEGUROS SA</v>
          </cell>
          <cell r="D880">
            <v>800240882</v>
          </cell>
        </row>
        <row r="881">
          <cell r="A881">
            <v>1101919</v>
          </cell>
          <cell r="B881" t="str">
            <v>TARAZONA ORLANDO</v>
          </cell>
          <cell r="D881">
            <v>79304743</v>
          </cell>
        </row>
        <row r="882">
          <cell r="A882">
            <v>1101929</v>
          </cell>
          <cell r="B882" t="str">
            <v>RANPETROL LTDA</v>
          </cell>
          <cell r="D882">
            <v>800140827</v>
          </cell>
        </row>
        <row r="883">
          <cell r="A883">
            <v>1101930</v>
          </cell>
          <cell r="B883" t="str">
            <v>DIRECTORIO NACIONAL DE NIT RUT</v>
          </cell>
          <cell r="D883">
            <v>830059832</v>
          </cell>
        </row>
        <row r="884">
          <cell r="A884">
            <v>1102043</v>
          </cell>
          <cell r="B884" t="str">
            <v>QUINTERO DIANA MARIA</v>
          </cell>
          <cell r="D884">
            <v>36066783</v>
          </cell>
        </row>
        <row r="885">
          <cell r="A885">
            <v>1102044</v>
          </cell>
          <cell r="B885" t="str">
            <v>SUTA ORLANDO</v>
          </cell>
          <cell r="D885">
            <v>12112756</v>
          </cell>
        </row>
        <row r="886">
          <cell r="A886">
            <v>1102060</v>
          </cell>
          <cell r="B886" t="str">
            <v>RAMOS LOPEZ ASTRIDE E</v>
          </cell>
          <cell r="D886">
            <v>45514838</v>
          </cell>
        </row>
        <row r="887">
          <cell r="A887">
            <v>1102086</v>
          </cell>
          <cell r="B887" t="str">
            <v>FONDO DE PENSIONES SANTANDER</v>
          </cell>
          <cell r="D887">
            <v>800224827</v>
          </cell>
        </row>
        <row r="888">
          <cell r="A888">
            <v>1102087</v>
          </cell>
          <cell r="B888" t="str">
            <v>RAMIREZ JOSE ANTONIO</v>
          </cell>
          <cell r="D888">
            <v>80269496</v>
          </cell>
        </row>
        <row r="889">
          <cell r="A889">
            <v>1102103</v>
          </cell>
          <cell r="B889" t="str">
            <v>FONDO DE PENSIONES VOLUNTARIAS</v>
          </cell>
          <cell r="D889">
            <v>830038185</v>
          </cell>
        </row>
        <row r="890">
          <cell r="A890">
            <v>1102104</v>
          </cell>
          <cell r="B890" t="str">
            <v>A AND M INSTALACIONES</v>
          </cell>
          <cell r="D890">
            <v>830055080</v>
          </cell>
        </row>
        <row r="891">
          <cell r="A891">
            <v>1102105</v>
          </cell>
          <cell r="B891" t="str">
            <v>AMANOS</v>
          </cell>
          <cell r="D891">
            <v>800116169</v>
          </cell>
        </row>
        <row r="892">
          <cell r="A892">
            <v>1102106</v>
          </cell>
          <cell r="B892" t="str">
            <v>RAMIREZ FLOR MARINA</v>
          </cell>
          <cell r="D892">
            <v>55055640</v>
          </cell>
        </row>
        <row r="893">
          <cell r="A893">
            <v>1102178</v>
          </cell>
          <cell r="B893" t="str">
            <v>ROJAS JIMENO</v>
          </cell>
          <cell r="D893">
            <v>12103581</v>
          </cell>
        </row>
        <row r="894">
          <cell r="A894">
            <v>1102296</v>
          </cell>
          <cell r="B894" t="str">
            <v>TRANSLAGO LTDA</v>
          </cell>
          <cell r="D894">
            <v>860351235</v>
          </cell>
        </row>
        <row r="895">
          <cell r="A895">
            <v>1102314</v>
          </cell>
          <cell r="B895" t="str">
            <v>SANABRIA SANABRIA ALEXANDRA</v>
          </cell>
          <cell r="D895">
            <v>39769174</v>
          </cell>
        </row>
        <row r="896">
          <cell r="A896">
            <v>1102315</v>
          </cell>
          <cell r="B896" t="str">
            <v>TECNOINFORMATICA LTDA</v>
          </cell>
          <cell r="D896">
            <v>860528040</v>
          </cell>
        </row>
        <row r="897">
          <cell r="A897">
            <v>1102331</v>
          </cell>
          <cell r="B897" t="str">
            <v>COPILAZER Y COMPANIA LTDA</v>
          </cell>
          <cell r="C897" t="str">
            <v>CALLE 93B NO 15-34 LOCAL 108</v>
          </cell>
          <cell r="D897">
            <v>800088673</v>
          </cell>
        </row>
        <row r="898">
          <cell r="A898">
            <v>1102332</v>
          </cell>
          <cell r="B898" t="str">
            <v>HIGUERA RAFAEL</v>
          </cell>
          <cell r="D898">
            <v>4277103</v>
          </cell>
        </row>
        <row r="899">
          <cell r="A899">
            <v>1102460</v>
          </cell>
          <cell r="B899" t="str">
            <v>EMPROCOR LTDA</v>
          </cell>
          <cell r="D899">
            <v>830071912</v>
          </cell>
        </row>
        <row r="900">
          <cell r="A900">
            <v>1102508</v>
          </cell>
          <cell r="B900" t="str">
            <v>CARLOS SUAREZ</v>
          </cell>
          <cell r="C900" t="str">
            <v>TRANSVERSAL 110 NO 81-40 INTERIOR 9</v>
          </cell>
          <cell r="D900">
            <v>19147017</v>
          </cell>
        </row>
        <row r="901">
          <cell r="A901">
            <v>1102524</v>
          </cell>
          <cell r="B901" t="str">
            <v>CARREÑO VLADIMIR</v>
          </cell>
          <cell r="D901">
            <v>79704451</v>
          </cell>
        </row>
        <row r="902">
          <cell r="A902">
            <v>1102528</v>
          </cell>
          <cell r="B902" t="str">
            <v>HIGIENE INDUSTRIAL LTDA - HIGH-TEC</v>
          </cell>
          <cell r="D902">
            <v>800194295</v>
          </cell>
        </row>
        <row r="903">
          <cell r="A903">
            <v>1102529</v>
          </cell>
          <cell r="B903" t="str">
            <v>CORPORACION CALIDAD</v>
          </cell>
          <cell r="D903">
            <v>800125846</v>
          </cell>
        </row>
        <row r="904">
          <cell r="A904">
            <v>1102622</v>
          </cell>
          <cell r="B904" t="str">
            <v>GONZALEZ RENATO</v>
          </cell>
          <cell r="D904">
            <v>7696609</v>
          </cell>
        </row>
        <row r="905">
          <cell r="A905">
            <v>1102634</v>
          </cell>
          <cell r="B905" t="str">
            <v>ALFRIO LTDA</v>
          </cell>
          <cell r="D905">
            <v>860500689</v>
          </cell>
        </row>
        <row r="906">
          <cell r="A906">
            <v>1102635</v>
          </cell>
          <cell r="B906" t="str">
            <v>A PUNTO COM LTDA</v>
          </cell>
          <cell r="D906">
            <v>830006669</v>
          </cell>
        </row>
        <row r="907">
          <cell r="A907">
            <v>1102636</v>
          </cell>
          <cell r="B907" t="str">
            <v>TORRES JORGE</v>
          </cell>
          <cell r="D907">
            <v>9530434</v>
          </cell>
        </row>
        <row r="908">
          <cell r="A908">
            <v>1102637</v>
          </cell>
          <cell r="B908" t="str">
            <v>WILSON ALVAREZ</v>
          </cell>
          <cell r="D908">
            <v>88215354</v>
          </cell>
        </row>
        <row r="909">
          <cell r="A909">
            <v>1102643</v>
          </cell>
          <cell r="B909" t="str">
            <v>JOSE JOAQUIN GIL</v>
          </cell>
          <cell r="D909">
            <v>11301344</v>
          </cell>
        </row>
        <row r="910">
          <cell r="A910">
            <v>1102644</v>
          </cell>
          <cell r="B910" t="str">
            <v>BENJAMIN BLANCO</v>
          </cell>
          <cell r="D910">
            <v>4301550</v>
          </cell>
        </row>
        <row r="911">
          <cell r="A911">
            <v>1102755</v>
          </cell>
          <cell r="B911" t="str">
            <v>INVERSIONES RIGELA AND CIA S EN C</v>
          </cell>
          <cell r="D911">
            <v>860535310</v>
          </cell>
        </row>
        <row r="912">
          <cell r="A912">
            <v>1102763</v>
          </cell>
          <cell r="B912" t="str">
            <v>A B PUBLICIDAD LTDA</v>
          </cell>
          <cell r="D912">
            <v>860076130</v>
          </cell>
        </row>
        <row r="913">
          <cell r="A913">
            <v>1102778</v>
          </cell>
          <cell r="B913" t="str">
            <v>YANURY SANDOVAL MONRROY-VALLAS TORO</v>
          </cell>
          <cell r="D913">
            <v>65740100</v>
          </cell>
        </row>
        <row r="914">
          <cell r="A914">
            <v>1103054</v>
          </cell>
          <cell r="B914" t="str">
            <v>MONTAJES SAVART LTDA</v>
          </cell>
          <cell r="D914">
            <v>800102509</v>
          </cell>
        </row>
        <row r="915">
          <cell r="A915">
            <v>1103078</v>
          </cell>
          <cell r="B915" t="str">
            <v>RED SERVICIOS INMOBILIARIOS</v>
          </cell>
          <cell r="D915">
            <v>830065743</v>
          </cell>
        </row>
        <row r="916">
          <cell r="A916">
            <v>1103079</v>
          </cell>
          <cell r="B916" t="str">
            <v>ILAM LTDA</v>
          </cell>
          <cell r="D916">
            <v>860062020</v>
          </cell>
        </row>
        <row r="917">
          <cell r="A917">
            <v>1103150</v>
          </cell>
          <cell r="B917" t="str">
            <v>MARTINEZ ROCHA ROSA ELVIRA</v>
          </cell>
          <cell r="D917">
            <v>21056847</v>
          </cell>
        </row>
        <row r="918">
          <cell r="A918">
            <v>1103218</v>
          </cell>
          <cell r="B918" t="str">
            <v>DIAZ SAAVEDRA JOSE ANGEL</v>
          </cell>
          <cell r="D918">
            <v>13887616</v>
          </cell>
        </row>
        <row r="919">
          <cell r="A919">
            <v>1103219</v>
          </cell>
          <cell r="B919" t="str">
            <v>POLANIA OSORIO MANUEL</v>
          </cell>
          <cell r="D919">
            <v>12125904</v>
          </cell>
        </row>
        <row r="920">
          <cell r="A920">
            <v>1103220</v>
          </cell>
          <cell r="B920" t="str">
            <v>DELGADO ANDRES</v>
          </cell>
          <cell r="D920">
            <v>79643670</v>
          </cell>
        </row>
        <row r="921">
          <cell r="A921">
            <v>1103254</v>
          </cell>
          <cell r="B921" t="str">
            <v>FLOREZ CHAMBO LUIS CARLOS</v>
          </cell>
          <cell r="D921">
            <v>12132788</v>
          </cell>
        </row>
        <row r="922">
          <cell r="A922">
            <v>1103257</v>
          </cell>
          <cell r="B922" t="str">
            <v>WHL CONTROLES Y SEGURIDAD</v>
          </cell>
          <cell r="D922">
            <v>10274833</v>
          </cell>
        </row>
        <row r="923">
          <cell r="A923">
            <v>1103258</v>
          </cell>
          <cell r="B923" t="str">
            <v>DONCEL SANDRA MARITZA</v>
          </cell>
          <cell r="D923">
            <v>51667832</v>
          </cell>
        </row>
        <row r="924">
          <cell r="A924">
            <v>1103324</v>
          </cell>
          <cell r="B924" t="str">
            <v>RODRIGUEZ ALBERTO</v>
          </cell>
          <cell r="D924">
            <v>11385940</v>
          </cell>
        </row>
        <row r="925">
          <cell r="A925">
            <v>1103341</v>
          </cell>
          <cell r="B925" t="str">
            <v>BERNAL DUARTE JANNETH</v>
          </cell>
          <cell r="D925">
            <v>52707604</v>
          </cell>
        </row>
        <row r="926">
          <cell r="A926">
            <v>1103342</v>
          </cell>
          <cell r="B926" t="str">
            <v>FLORES CAROLINA</v>
          </cell>
          <cell r="D926">
            <v>20251645</v>
          </cell>
        </row>
        <row r="927">
          <cell r="A927">
            <v>1103373</v>
          </cell>
          <cell r="B927" t="str">
            <v>EL HATO LTDA</v>
          </cell>
          <cell r="D927">
            <v>844000974</v>
          </cell>
        </row>
        <row r="928">
          <cell r="A928">
            <v>1103375</v>
          </cell>
          <cell r="B928" t="str">
            <v>MURCIA CARLOS</v>
          </cell>
          <cell r="D928">
            <v>79522440</v>
          </cell>
        </row>
        <row r="929">
          <cell r="A929">
            <v>1103443</v>
          </cell>
          <cell r="B929" t="str">
            <v>FONDO DE COMUNICACIONES</v>
          </cell>
          <cell r="D929">
            <v>899999053</v>
          </cell>
        </row>
        <row r="930">
          <cell r="A930">
            <v>1103614</v>
          </cell>
          <cell r="B930" t="str">
            <v>ANICIZAR OCAMPO JESUS</v>
          </cell>
          <cell r="D930">
            <v>9653563</v>
          </cell>
        </row>
        <row r="931">
          <cell r="A931">
            <v>1103615</v>
          </cell>
          <cell r="B931" t="str">
            <v>MARTINEZ JAIME</v>
          </cell>
          <cell r="D931">
            <v>19287053</v>
          </cell>
        </row>
        <row r="932">
          <cell r="A932">
            <v>1103638</v>
          </cell>
          <cell r="B932" t="str">
            <v>ROJAS RODRIGO-TORNICAT</v>
          </cell>
          <cell r="D932">
            <v>1610993</v>
          </cell>
        </row>
        <row r="933">
          <cell r="A933">
            <v>1103733</v>
          </cell>
          <cell r="B933" t="str">
            <v>BATALLON CACIQUE PIGOANZA</v>
          </cell>
          <cell r="D933">
            <v>800131041</v>
          </cell>
        </row>
        <row r="934">
          <cell r="A934">
            <v>1103797</v>
          </cell>
          <cell r="B934" t="str">
            <v>BENJAMIN BLANCO</v>
          </cell>
          <cell r="D934">
            <v>4301550</v>
          </cell>
        </row>
        <row r="935">
          <cell r="A935">
            <v>1103853</v>
          </cell>
          <cell r="B935" t="str">
            <v>TIAMAT LTDA</v>
          </cell>
          <cell r="D935">
            <v>830069847</v>
          </cell>
        </row>
        <row r="936">
          <cell r="A936">
            <v>1103914</v>
          </cell>
          <cell r="B936" t="str">
            <v>ROLANDO PEDRAZA JIMENEZ</v>
          </cell>
          <cell r="D936">
            <v>3154672</v>
          </cell>
        </row>
        <row r="937">
          <cell r="A937">
            <v>1103926</v>
          </cell>
          <cell r="B937" t="str">
            <v>LA CASA MAZDA 323 LEB MAC LTDA</v>
          </cell>
          <cell r="D937">
            <v>830012144</v>
          </cell>
        </row>
        <row r="938">
          <cell r="A938">
            <v>1103940</v>
          </cell>
          <cell r="B938" t="str">
            <v>TECNIENSAYOS LTDA</v>
          </cell>
          <cell r="D938">
            <v>800164844</v>
          </cell>
        </row>
        <row r="939">
          <cell r="A939">
            <v>1103955</v>
          </cell>
          <cell r="B939" t="str">
            <v>ADMINISTRADORA DE HOTELES NUEVA</v>
          </cell>
          <cell r="D939">
            <v>830073145</v>
          </cell>
        </row>
        <row r="940">
          <cell r="A940">
            <v>1103956</v>
          </cell>
          <cell r="B940" t="str">
            <v>HOTELES LTDA</v>
          </cell>
          <cell r="D940">
            <v>891500090</v>
          </cell>
        </row>
        <row r="941">
          <cell r="A941">
            <v>1103957</v>
          </cell>
          <cell r="B941" t="str">
            <v>SILVA DUARTE ISAAC ALBERTO</v>
          </cell>
          <cell r="D941">
            <v>80083557</v>
          </cell>
        </row>
        <row r="942">
          <cell r="A942">
            <v>1103966</v>
          </cell>
          <cell r="B942" t="str">
            <v>TRES S LTDA</v>
          </cell>
          <cell r="D942">
            <v>813004548</v>
          </cell>
        </row>
        <row r="943">
          <cell r="A943">
            <v>1103967</v>
          </cell>
          <cell r="B943" t="str">
            <v>CHUNZA NESTOR</v>
          </cell>
          <cell r="D943">
            <v>79110755</v>
          </cell>
        </row>
        <row r="944">
          <cell r="A944">
            <v>1103969</v>
          </cell>
          <cell r="B944" t="str">
            <v>KAMEX INTERNATIONAL LTDA</v>
          </cell>
          <cell r="C944" t="str">
            <v>TRANSVERSAL 22 NO 121-40 OFICINA</v>
          </cell>
          <cell r="D944">
            <v>800060704</v>
          </cell>
        </row>
        <row r="945">
          <cell r="A945">
            <v>1103979</v>
          </cell>
          <cell r="B945" t="str">
            <v>PRAXIS LABORATORY DE COLOMBIA TRES</v>
          </cell>
          <cell r="D945">
            <v>800171366</v>
          </cell>
        </row>
        <row r="946">
          <cell r="A946">
            <v>1103980</v>
          </cell>
          <cell r="B946" t="str">
            <v>CABALLERO CALDERON VICTOR ANDRES</v>
          </cell>
          <cell r="D946">
            <v>19337297</v>
          </cell>
        </row>
        <row r="947">
          <cell r="A947">
            <v>1103983</v>
          </cell>
          <cell r="B947" t="str">
            <v>HERNANDEZ PRADA CARLOS</v>
          </cell>
          <cell r="D947">
            <v>13844408</v>
          </cell>
        </row>
        <row r="948">
          <cell r="A948">
            <v>1104019</v>
          </cell>
          <cell r="B948" t="str">
            <v>GASPAR JAVIER</v>
          </cell>
          <cell r="D948">
            <v>12136336</v>
          </cell>
        </row>
        <row r="949">
          <cell r="A949">
            <v>1104020</v>
          </cell>
          <cell r="B949" t="str">
            <v>PATIÑO HUGO</v>
          </cell>
          <cell r="D949">
            <v>12121743</v>
          </cell>
        </row>
        <row r="950">
          <cell r="A950">
            <v>1104021</v>
          </cell>
          <cell r="B950" t="str">
            <v>MONTEALEGRE TOVAR RODRIGO</v>
          </cell>
          <cell r="D950">
            <v>12108384</v>
          </cell>
        </row>
        <row r="951">
          <cell r="A951">
            <v>1104049</v>
          </cell>
          <cell r="B951" t="str">
            <v>GUIDO LAROTA O TELECAS</v>
          </cell>
          <cell r="D951">
            <v>17005104</v>
          </cell>
        </row>
        <row r="952">
          <cell r="A952">
            <v>1104050</v>
          </cell>
          <cell r="B952" t="str">
            <v>PINTO PEDRO E</v>
          </cell>
          <cell r="D952">
            <v>9655568</v>
          </cell>
        </row>
        <row r="953">
          <cell r="A953">
            <v>1104051</v>
          </cell>
          <cell r="B953" t="str">
            <v>SOLANO REINALDO</v>
          </cell>
          <cell r="D953">
            <v>17323913</v>
          </cell>
        </row>
        <row r="954">
          <cell r="A954">
            <v>1104128</v>
          </cell>
          <cell r="B954" t="str">
            <v>ALTERNATIVA LABORAL LTDA</v>
          </cell>
          <cell r="D954">
            <v>800167071</v>
          </cell>
        </row>
        <row r="955">
          <cell r="A955">
            <v>1104184</v>
          </cell>
          <cell r="B955" t="str">
            <v>BUSINESS PEOPLE UNLIMITED Y CIA</v>
          </cell>
          <cell r="D955">
            <v>830000844</v>
          </cell>
        </row>
        <row r="956">
          <cell r="A956">
            <v>1104340</v>
          </cell>
          <cell r="B956" t="str">
            <v>TRIHUNIDOS LTDA HOTELS AMERICA</v>
          </cell>
          <cell r="D956">
            <v>860517381</v>
          </cell>
        </row>
        <row r="957">
          <cell r="A957">
            <v>1104461</v>
          </cell>
          <cell r="B957" t="str">
            <v>HURTADO GAMBA JULIO ANTONIO</v>
          </cell>
          <cell r="D957">
            <v>79301358</v>
          </cell>
        </row>
        <row r="958">
          <cell r="A958">
            <v>1104473</v>
          </cell>
          <cell r="B958" t="str">
            <v>GARRIDO PABLO E - MAS DEPORTES</v>
          </cell>
          <cell r="D958">
            <v>12113423</v>
          </cell>
        </row>
        <row r="959">
          <cell r="A959">
            <v>1104508</v>
          </cell>
          <cell r="B959" t="str">
            <v>ADRIANA PEDRAZA - TECNIFRENOS Y</v>
          </cell>
          <cell r="D959">
            <v>52172883</v>
          </cell>
        </row>
        <row r="960">
          <cell r="A960">
            <v>1104553</v>
          </cell>
          <cell r="B960" t="str">
            <v>DINAMICA ADUANERA SIA LTD</v>
          </cell>
          <cell r="D960">
            <v>860062514</v>
          </cell>
        </row>
        <row r="961">
          <cell r="A961">
            <v>1104654</v>
          </cell>
          <cell r="B961" t="str">
            <v>QUINONES DURAN FIDEL</v>
          </cell>
          <cell r="D961">
            <v>12132888</v>
          </cell>
        </row>
        <row r="962">
          <cell r="A962">
            <v>1104708</v>
          </cell>
          <cell r="B962" t="str">
            <v>AMERICANET LTDA</v>
          </cell>
          <cell r="D962">
            <v>830025784</v>
          </cell>
        </row>
        <row r="963">
          <cell r="A963">
            <v>1104709</v>
          </cell>
          <cell r="B963" t="str">
            <v>SUPERINTENDENCIA DE INDUSTRA Y</v>
          </cell>
          <cell r="D963">
            <v>800176089</v>
          </cell>
        </row>
        <row r="964">
          <cell r="A964">
            <v>1104818</v>
          </cell>
          <cell r="B964" t="str">
            <v>TORRES CALDERON SANTIAGO</v>
          </cell>
          <cell r="D964">
            <v>79141140</v>
          </cell>
        </row>
        <row r="965">
          <cell r="A965">
            <v>1104819</v>
          </cell>
          <cell r="B965" t="str">
            <v>ENCOEXPRESS LTDA</v>
          </cell>
          <cell r="D965">
            <v>800209779</v>
          </cell>
        </row>
        <row r="966">
          <cell r="A966">
            <v>1104820</v>
          </cell>
          <cell r="B966" t="str">
            <v>MESA S GERMAN - FABRIMUEBLES EL</v>
          </cell>
          <cell r="D966">
            <v>74861525</v>
          </cell>
        </row>
        <row r="967">
          <cell r="A967">
            <v>1104835</v>
          </cell>
          <cell r="B967" t="str">
            <v>CANO HERNANCO</v>
          </cell>
          <cell r="D967">
            <v>12114660</v>
          </cell>
        </row>
        <row r="968">
          <cell r="A968">
            <v>1104843</v>
          </cell>
          <cell r="B968" t="str">
            <v>COOPERATIVA DE TRABAJADORES DE LA</v>
          </cell>
          <cell r="D968">
            <v>760015708</v>
          </cell>
        </row>
        <row r="969">
          <cell r="A969">
            <v>1104844</v>
          </cell>
          <cell r="B969" t="str">
            <v>PROLOGICS</v>
          </cell>
          <cell r="D969">
            <v>830010883</v>
          </cell>
        </row>
        <row r="970">
          <cell r="A970">
            <v>1104929</v>
          </cell>
          <cell r="B970" t="str">
            <v>MENDEZ MOSQUERA ALFONSO</v>
          </cell>
          <cell r="D970">
            <v>12119640</v>
          </cell>
        </row>
        <row r="971">
          <cell r="A971">
            <v>1104930</v>
          </cell>
          <cell r="B971" t="str">
            <v>HOSPITAL UNIVERSITARIO HERNANCO</v>
          </cell>
          <cell r="D971">
            <v>891180268</v>
          </cell>
        </row>
        <row r="972">
          <cell r="A972">
            <v>1104931</v>
          </cell>
          <cell r="B972" t="str">
            <v>TELLEZ QUITIAN LUIS ARNULFO</v>
          </cell>
          <cell r="C972" t="str">
            <v>CARRERA 62 NO 26A-72 SUR OFICINA</v>
          </cell>
          <cell r="D972">
            <v>19460521</v>
          </cell>
        </row>
        <row r="973">
          <cell r="A973">
            <v>1104937</v>
          </cell>
          <cell r="B973" t="str">
            <v>MIAMI DEPORTES - VARGAS ORTIZ ROSA</v>
          </cell>
          <cell r="D973">
            <v>46353156</v>
          </cell>
        </row>
        <row r="974">
          <cell r="A974">
            <v>1105034</v>
          </cell>
          <cell r="B974" t="str">
            <v>COMUNICACION INSTITUCIONAL</v>
          </cell>
          <cell r="D974">
            <v>19058452</v>
          </cell>
        </row>
        <row r="975">
          <cell r="A975">
            <v>1105035</v>
          </cell>
          <cell r="B975" t="str">
            <v>ATOLVIP LIMITADA</v>
          </cell>
          <cell r="D975">
            <v>890705127</v>
          </cell>
        </row>
        <row r="976">
          <cell r="A976">
            <v>1105047</v>
          </cell>
          <cell r="B976" t="str">
            <v>SERVI INDUSTRIAL MAGER</v>
          </cell>
          <cell r="D976">
            <v>813005517</v>
          </cell>
        </row>
        <row r="977">
          <cell r="A977">
            <v>1105053</v>
          </cell>
          <cell r="B977" t="str">
            <v>SEGUROS DE VIDA DEL ESTADO S A</v>
          </cell>
          <cell r="D977">
            <v>860009174</v>
          </cell>
        </row>
        <row r="978">
          <cell r="A978">
            <v>1105073</v>
          </cell>
          <cell r="B978" t="str">
            <v>VICTOR MANUEL URIBE</v>
          </cell>
          <cell r="C978" t="str">
            <v>DIAGONAL 128B NO 18-20 APARTAMENTO</v>
          </cell>
          <cell r="D978">
            <v>17187691</v>
          </cell>
        </row>
        <row r="979">
          <cell r="A979">
            <v>1105167</v>
          </cell>
          <cell r="B979" t="str">
            <v>METRO SUPERMERCADA Y CIA LTDA</v>
          </cell>
          <cell r="D979">
            <v>844001408</v>
          </cell>
        </row>
        <row r="980">
          <cell r="A980">
            <v>1105243</v>
          </cell>
          <cell r="B980" t="str">
            <v>PICARMOL</v>
          </cell>
          <cell r="C980" t="str">
            <v>GERARDO PINEDA GOMEZ</v>
          </cell>
          <cell r="D980">
            <v>5711489</v>
          </cell>
        </row>
        <row r="981">
          <cell r="A981">
            <v>1105292</v>
          </cell>
          <cell r="B981" t="str">
            <v>JAIRO MORALES ACEVEDOR</v>
          </cell>
          <cell r="D981">
            <v>79141961</v>
          </cell>
        </row>
        <row r="982">
          <cell r="A982">
            <v>1105308</v>
          </cell>
          <cell r="B982" t="str">
            <v>LAMINASY PERFILES DEL HUILA</v>
          </cell>
          <cell r="D982">
            <v>55151960</v>
          </cell>
        </row>
        <row r="983">
          <cell r="A983">
            <v>1105318</v>
          </cell>
          <cell r="B983" t="str">
            <v>FALLA MARCO TULIO/LAVAQUIMICA</v>
          </cell>
          <cell r="D983">
            <v>6369287</v>
          </cell>
        </row>
        <row r="984">
          <cell r="A984">
            <v>1105319</v>
          </cell>
          <cell r="B984" t="str">
            <v>JUDITH ACUÑA-DROGUERIA EL DORADO</v>
          </cell>
          <cell r="D984">
            <v>36181250</v>
          </cell>
        </row>
        <row r="985">
          <cell r="A985">
            <v>1105391</v>
          </cell>
          <cell r="B985" t="str">
            <v>GLOBAL SPORT LTDA</v>
          </cell>
          <cell r="D985">
            <v>830062497</v>
          </cell>
        </row>
        <row r="986">
          <cell r="A986">
            <v>1105409</v>
          </cell>
          <cell r="B986" t="str">
            <v>AUTONIZA LTDA</v>
          </cell>
          <cell r="D986">
            <v>860069497</v>
          </cell>
        </row>
        <row r="987">
          <cell r="A987">
            <v>1105411</v>
          </cell>
          <cell r="B987" t="str">
            <v>RAMIREZ SERNA GILBERTO ANTONIO</v>
          </cell>
          <cell r="D987">
            <v>71624699</v>
          </cell>
        </row>
        <row r="988">
          <cell r="A988">
            <v>1105551</v>
          </cell>
          <cell r="B988" t="str">
            <v>BARON PEREZ MARIA CATALINA</v>
          </cell>
          <cell r="D988">
            <v>52819780</v>
          </cell>
        </row>
        <row r="989">
          <cell r="A989">
            <v>1105552</v>
          </cell>
          <cell r="B989" t="str">
            <v>MONGUI RIVERA NORA STELLA</v>
          </cell>
          <cell r="D989">
            <v>23827048</v>
          </cell>
        </row>
        <row r="990">
          <cell r="A990">
            <v>1105580</v>
          </cell>
          <cell r="B990" t="str">
            <v>VILA ALVAREZ ANDRES</v>
          </cell>
          <cell r="D990">
            <v>79361424</v>
          </cell>
        </row>
        <row r="991">
          <cell r="A991">
            <v>1105617</v>
          </cell>
          <cell r="B991" t="str">
            <v>ASOCIACION DE ESTUDIANTES</v>
          </cell>
          <cell r="D991">
            <v>830073680</v>
          </cell>
        </row>
        <row r="992">
          <cell r="A992">
            <v>1105664</v>
          </cell>
          <cell r="B992" t="str">
            <v>ZEHIRUT LTDA</v>
          </cell>
          <cell r="D992">
            <v>830033612</v>
          </cell>
        </row>
        <row r="993">
          <cell r="A993">
            <v>1105665</v>
          </cell>
          <cell r="B993" t="str">
            <v>SMART TRAINING SOCIETY LTDA</v>
          </cell>
          <cell r="D993">
            <v>830033825</v>
          </cell>
        </row>
        <row r="994">
          <cell r="A994">
            <v>1105703</v>
          </cell>
          <cell r="B994" t="str">
            <v>DIAZ SIMON</v>
          </cell>
          <cell r="D994">
            <v>7213153</v>
          </cell>
        </row>
        <row r="995">
          <cell r="A995">
            <v>1105704</v>
          </cell>
          <cell r="B995" t="str">
            <v>TOBIAN LIBARDO</v>
          </cell>
          <cell r="D995">
            <v>9654455</v>
          </cell>
        </row>
        <row r="996">
          <cell r="A996">
            <v>1105803</v>
          </cell>
          <cell r="B996" t="str">
            <v>FERNANDEZ DE ZUNIGA ALBA ILIA</v>
          </cell>
          <cell r="D996">
            <v>25256386</v>
          </cell>
        </row>
        <row r="997">
          <cell r="A997">
            <v>1105902</v>
          </cell>
          <cell r="B997" t="str">
            <v>DESARROLLO Y SERVICIOS</v>
          </cell>
          <cell r="D997">
            <v>830055408</v>
          </cell>
        </row>
        <row r="998">
          <cell r="A998">
            <v>1105918</v>
          </cell>
          <cell r="B998" t="str">
            <v>GENESIS ELECTRONICA LTDA</v>
          </cell>
          <cell r="D998">
            <v>800229496</v>
          </cell>
        </row>
        <row r="999">
          <cell r="A999">
            <v>1105998</v>
          </cell>
          <cell r="B999" t="str">
            <v>OLIVARES ALEXANDER</v>
          </cell>
          <cell r="D999">
            <v>79969619</v>
          </cell>
        </row>
        <row r="1000">
          <cell r="A1000">
            <v>1105999</v>
          </cell>
          <cell r="B1000" t="str">
            <v>RAVE CUBILLOS MAURICIO</v>
          </cell>
          <cell r="D1000">
            <v>19284945</v>
          </cell>
        </row>
        <row r="1001">
          <cell r="A1001">
            <v>1106102</v>
          </cell>
          <cell r="B1001" t="str">
            <v>STAUBACH LACPS LTDA</v>
          </cell>
          <cell r="D1001">
            <v>830060857</v>
          </cell>
        </row>
        <row r="1002">
          <cell r="A1002">
            <v>1106161</v>
          </cell>
          <cell r="B1002" t="str">
            <v>JUNTA DE ACCION COMUNAL PENAS</v>
          </cell>
          <cell r="D1002">
            <v>91101512</v>
          </cell>
        </row>
        <row r="1003">
          <cell r="A1003">
            <v>1106263</v>
          </cell>
          <cell r="B1003" t="str">
            <v>LUIS FELIPE BAHAMON</v>
          </cell>
          <cell r="D1003">
            <v>12130764</v>
          </cell>
        </row>
        <row r="1004">
          <cell r="A1004">
            <v>1106545</v>
          </cell>
          <cell r="B1004" t="str">
            <v>TRANS ARCHIVOS LTDA</v>
          </cell>
          <cell r="D1004">
            <v>79969619</v>
          </cell>
        </row>
        <row r="1005">
          <cell r="A1005">
            <v>1106547</v>
          </cell>
          <cell r="B1005" t="str">
            <v>ESTILO INGENIERIA SA</v>
          </cell>
          <cell r="D1005">
            <v>860063830</v>
          </cell>
        </row>
        <row r="1006">
          <cell r="A1006">
            <v>1106592</v>
          </cell>
          <cell r="B1006" t="str">
            <v>URBINA JOSE JAIRO</v>
          </cell>
          <cell r="C1006" t="str">
            <v>CARRERA 1W NO 42C - 16 APTO 401</v>
          </cell>
          <cell r="D1006">
            <v>11339372</v>
          </cell>
        </row>
        <row r="1007">
          <cell r="A1007">
            <v>1106599</v>
          </cell>
          <cell r="B1007" t="str">
            <v>ING BARING CORPORACION FINANCIERA</v>
          </cell>
          <cell r="D1007">
            <v>860061949</v>
          </cell>
        </row>
        <row r="1008">
          <cell r="A1008">
            <v>1106618</v>
          </cell>
          <cell r="B1008" t="str">
            <v>GUERRERO R FABIO TECNIPESADOS</v>
          </cell>
          <cell r="D1008">
            <v>17198427</v>
          </cell>
        </row>
        <row r="1009">
          <cell r="A1009">
            <v>1106619</v>
          </cell>
          <cell r="B1009" t="str">
            <v>TOVAR RONDON ANA AYDEE</v>
          </cell>
          <cell r="D1009">
            <v>28863625</v>
          </cell>
        </row>
        <row r="1010">
          <cell r="A1010">
            <v>1106689</v>
          </cell>
          <cell r="B1010" t="str">
            <v>CONINGLES LTDA</v>
          </cell>
          <cell r="D1010">
            <v>800044581</v>
          </cell>
        </row>
        <row r="1011">
          <cell r="A1011">
            <v>1106690</v>
          </cell>
          <cell r="B1011" t="str">
            <v>DISCORCOM LTDA</v>
          </cell>
          <cell r="D1011">
            <v>830071912</v>
          </cell>
        </row>
        <row r="1012">
          <cell r="A1012">
            <v>1106700</v>
          </cell>
          <cell r="B1012" t="str">
            <v>GARZON JAVIER FRANCISCO</v>
          </cell>
          <cell r="D1012">
            <v>9003159</v>
          </cell>
        </row>
        <row r="1013">
          <cell r="A1013">
            <v>1106701</v>
          </cell>
          <cell r="B1013" t="str">
            <v>PINEDA JORGE</v>
          </cell>
          <cell r="D1013">
            <v>79284738</v>
          </cell>
        </row>
        <row r="1014">
          <cell r="A1014">
            <v>1106702</v>
          </cell>
          <cell r="B1014" t="str">
            <v>ESTACION DE SERVICIO TAURAMENA</v>
          </cell>
          <cell r="D1014">
            <v>844002284</v>
          </cell>
        </row>
        <row r="1015">
          <cell r="A1015">
            <v>1106711</v>
          </cell>
          <cell r="B1015" t="str">
            <v>ORION JOYEROS</v>
          </cell>
          <cell r="D1015">
            <v>91226947</v>
          </cell>
        </row>
        <row r="1016">
          <cell r="A1016">
            <v>1106712</v>
          </cell>
          <cell r="B1016" t="str">
            <v>GONZALEZ JAIRO</v>
          </cell>
          <cell r="D1016">
            <v>7221617</v>
          </cell>
        </row>
        <row r="1017">
          <cell r="A1017">
            <v>1106856</v>
          </cell>
          <cell r="B1017" t="str">
            <v>PROMOTORA DE CONSTRUCCIONES SILVA Y</v>
          </cell>
          <cell r="D1017">
            <v>800140173</v>
          </cell>
        </row>
        <row r="1018">
          <cell r="A1018">
            <v>1106863</v>
          </cell>
          <cell r="B1018" t="str">
            <v>ESPERANZA CHACON AGUIRRE-PUNTOS DE</v>
          </cell>
          <cell r="D1018">
            <v>37883164</v>
          </cell>
        </row>
        <row r="1019">
          <cell r="A1019">
            <v>1106934</v>
          </cell>
          <cell r="B1019" t="str">
            <v>ALVARADO RIVERA CESAR</v>
          </cell>
          <cell r="D1019">
            <v>91277972</v>
          </cell>
        </row>
        <row r="1020">
          <cell r="A1020">
            <v>1107056</v>
          </cell>
          <cell r="B1020" t="str">
            <v>RENOVACION CARISMATICA CATOLICA</v>
          </cell>
          <cell r="D1020">
            <v>813001850</v>
          </cell>
        </row>
        <row r="1021">
          <cell r="A1021">
            <v>1107117</v>
          </cell>
          <cell r="B1021" t="str">
            <v>TRADUCTORES TECNICOS ASOCIADOS</v>
          </cell>
          <cell r="D1021">
            <v>860513930</v>
          </cell>
        </row>
        <row r="1022">
          <cell r="A1022">
            <v>1107183</v>
          </cell>
          <cell r="B1022" t="str">
            <v>CASA DE LA CULTURA FONDO DE</v>
          </cell>
          <cell r="D1022">
            <v>860011265</v>
          </cell>
        </row>
        <row r="1023">
          <cell r="A1023">
            <v>1107191</v>
          </cell>
          <cell r="B1023" t="str">
            <v>GONZALEZ MEJIA SANDRA</v>
          </cell>
          <cell r="D1023">
            <v>39684594</v>
          </cell>
        </row>
        <row r="1024">
          <cell r="A1024">
            <v>1107232</v>
          </cell>
          <cell r="B1024" t="str">
            <v>LIGA DE PATINAJE DEL HUILA</v>
          </cell>
          <cell r="D1024">
            <v>813005465</v>
          </cell>
        </row>
        <row r="1025">
          <cell r="A1025">
            <v>1107524</v>
          </cell>
          <cell r="B1025" t="str">
            <v>UNIDAD VISUAL LATINOAMERICANA</v>
          </cell>
          <cell r="D1025">
            <v>52113597</v>
          </cell>
        </row>
        <row r="1026">
          <cell r="A1026">
            <v>1107647</v>
          </cell>
          <cell r="B1026" t="str">
            <v>RAMON E MARTINEZ</v>
          </cell>
          <cell r="D1026">
            <v>15503016</v>
          </cell>
        </row>
        <row r="1027">
          <cell r="A1027">
            <v>1108138</v>
          </cell>
          <cell r="B1027" t="str">
            <v>NOTARIA 61 DEL CIRCULO DE SANTA FE</v>
          </cell>
          <cell r="D1027">
            <v>17005674</v>
          </cell>
        </row>
        <row r="1028">
          <cell r="A1028">
            <v>5048040</v>
          </cell>
          <cell r="B1028" t="str">
            <v>RICARDO GUARIN</v>
          </cell>
          <cell r="D1028">
            <v>2090654</v>
          </cell>
        </row>
        <row r="1029">
          <cell r="A1029">
            <v>5048041</v>
          </cell>
          <cell r="B1029" t="str">
            <v>RIGOBERTO GARCIA PENA</v>
          </cell>
          <cell r="D1029">
            <v>4165133</v>
          </cell>
        </row>
        <row r="1030">
          <cell r="A1030">
            <v>5048042</v>
          </cell>
          <cell r="B1030" t="str">
            <v>GARAVITO LEOCADIO</v>
          </cell>
          <cell r="D1030">
            <v>9658889</v>
          </cell>
        </row>
        <row r="1031">
          <cell r="A1031">
            <v>5048285</v>
          </cell>
          <cell r="B1031" t="str">
            <v>INVERSIONES LA PAMPA LTDA</v>
          </cell>
          <cell r="D1031">
            <v>830032187</v>
          </cell>
        </row>
        <row r="1032">
          <cell r="A1032">
            <v>5049399</v>
          </cell>
          <cell r="B1032" t="str">
            <v>MUNOZ NEIRA MARTHA INES</v>
          </cell>
          <cell r="D1032">
            <v>37887422</v>
          </cell>
        </row>
        <row r="1033">
          <cell r="A1033">
            <v>7010663</v>
          </cell>
          <cell r="B1033" t="str">
            <v>BELTRAN CHAUVEZ, RUBEN</v>
          </cell>
          <cell r="D1033">
            <v>79143385</v>
          </cell>
        </row>
        <row r="1034">
          <cell r="A1034">
            <v>7010670</v>
          </cell>
          <cell r="B1034" t="str">
            <v>NIERI MASSA, MIGUEL ANGEL</v>
          </cell>
          <cell r="D1034">
            <v>258128</v>
          </cell>
        </row>
        <row r="1035">
          <cell r="A1035">
            <v>7010672</v>
          </cell>
          <cell r="B1035" t="str">
            <v>ACEVEDO CASTAÑEDA, VICTOR JULIO</v>
          </cell>
          <cell r="D1035">
            <v>19179944</v>
          </cell>
        </row>
        <row r="1036">
          <cell r="A1036">
            <v>7010678</v>
          </cell>
          <cell r="B1036" t="str">
            <v>CALDERON ROJAS, DARIO</v>
          </cell>
          <cell r="D1036">
            <v>19389220</v>
          </cell>
        </row>
        <row r="1037">
          <cell r="A1037">
            <v>7010699</v>
          </cell>
          <cell r="B1037" t="str">
            <v>GUZMAN CASTEBLANCO, GUILLERMO LEON</v>
          </cell>
          <cell r="D1037">
            <v>17067308</v>
          </cell>
        </row>
        <row r="1038">
          <cell r="A1038">
            <v>7010705</v>
          </cell>
          <cell r="B1038" t="str">
            <v>LURDUY GUARIN, FERNANDO</v>
          </cell>
          <cell r="D1038">
            <v>79279952</v>
          </cell>
        </row>
        <row r="1039">
          <cell r="A1039">
            <v>7010725</v>
          </cell>
          <cell r="B1039" t="str">
            <v>RIVERA SAAVEDRA, GERMAN AUGUSTO</v>
          </cell>
          <cell r="D1039">
            <v>79511054</v>
          </cell>
        </row>
        <row r="1040">
          <cell r="A1040">
            <v>7010728</v>
          </cell>
          <cell r="B1040" t="str">
            <v>MARTINEZ DE RODRIGUEZ, MARIA DEL CA</v>
          </cell>
          <cell r="D1040">
            <v>35324059</v>
          </cell>
        </row>
        <row r="1041">
          <cell r="A1041">
            <v>7010736</v>
          </cell>
          <cell r="B1041" t="str">
            <v>SIERRA ASCENCIO, MARTHA CECILIA</v>
          </cell>
          <cell r="D1041">
            <v>63316193</v>
          </cell>
        </row>
        <row r="1042">
          <cell r="A1042">
            <v>7010747</v>
          </cell>
          <cell r="B1042" t="str">
            <v>ANGEL ORTEGA, CARMEN LETICIA</v>
          </cell>
          <cell r="D1042">
            <v>23741527</v>
          </cell>
        </row>
        <row r="1043">
          <cell r="A1043">
            <v>7010766</v>
          </cell>
          <cell r="B1043" t="str">
            <v>MONJE RODRIGUEZ, EDGAR</v>
          </cell>
          <cell r="D1043">
            <v>12130884</v>
          </cell>
        </row>
        <row r="1044">
          <cell r="A1044">
            <v>7010770</v>
          </cell>
          <cell r="B1044" t="str">
            <v>SAAVEDRA CRUZ, MARIELA</v>
          </cell>
          <cell r="D1044">
            <v>47430230</v>
          </cell>
        </row>
        <row r="1045">
          <cell r="A1045">
            <v>7010771</v>
          </cell>
          <cell r="B1045" t="str">
            <v>AGUIRRE MARQUEZ, RAFAEL VICENTE</v>
          </cell>
          <cell r="D1045">
            <v>19368976</v>
          </cell>
        </row>
        <row r="1046">
          <cell r="A1046">
            <v>7010779</v>
          </cell>
          <cell r="B1046" t="str">
            <v>GARCES SANCHEZ, JOSE JAIRO</v>
          </cell>
          <cell r="D1046">
            <v>19051947</v>
          </cell>
        </row>
        <row r="1047">
          <cell r="A1047">
            <v>7010793</v>
          </cell>
          <cell r="B1047" t="str">
            <v>RAMIREZ SANCHEZ, LEILA MARGOTH</v>
          </cell>
          <cell r="D1047">
            <v>55168675</v>
          </cell>
        </row>
        <row r="1048">
          <cell r="A1048">
            <v>7010797</v>
          </cell>
          <cell r="B1048" t="str">
            <v>AGUIRRE, ALEXANDER</v>
          </cell>
          <cell r="D1048">
            <v>12124298</v>
          </cell>
        </row>
        <row r="1049">
          <cell r="A1049">
            <v>7010805</v>
          </cell>
          <cell r="B1049" t="str">
            <v>GARZON DUARTE, JUAN RAMON</v>
          </cell>
          <cell r="D1049">
            <v>5660244</v>
          </cell>
        </row>
        <row r="1050">
          <cell r="A1050">
            <v>7010854</v>
          </cell>
          <cell r="B1050" t="str">
            <v>PALACIO LAVERDE, LUIS JAVIER</v>
          </cell>
          <cell r="D1050">
            <v>70064207</v>
          </cell>
        </row>
        <row r="1051">
          <cell r="A1051">
            <v>7010893</v>
          </cell>
          <cell r="B1051" t="str">
            <v>MEDINA REYES, EDGARDO</v>
          </cell>
          <cell r="D1051">
            <v>79298305</v>
          </cell>
        </row>
        <row r="1052">
          <cell r="A1052">
            <v>7024526</v>
          </cell>
          <cell r="B1052" t="str">
            <v>RECALDE TOBAR, CARLOS ANIBAL</v>
          </cell>
          <cell r="D1052">
            <v>262549</v>
          </cell>
        </row>
        <row r="1053">
          <cell r="A1053">
            <v>7038218</v>
          </cell>
          <cell r="B1053" t="str">
            <v>ALFONSO GUEVARA, DIOGENES</v>
          </cell>
          <cell r="D1053">
            <v>3085175</v>
          </cell>
        </row>
        <row r="1054">
          <cell r="A1054">
            <v>7038220</v>
          </cell>
          <cell r="B1054" t="str">
            <v>RUEDA DUARTE, CARLOS AUGUSTO</v>
          </cell>
          <cell r="D1054">
            <v>13894377</v>
          </cell>
        </row>
        <row r="1055">
          <cell r="A1055">
            <v>7038221</v>
          </cell>
          <cell r="B1055" t="str">
            <v>RANGEL ESTUPINAN, CRISTO</v>
          </cell>
          <cell r="D1055">
            <v>74320468</v>
          </cell>
        </row>
        <row r="1056">
          <cell r="A1056">
            <v>7038222</v>
          </cell>
          <cell r="B1056" t="str">
            <v>ACEVEDO RIVERA, EDGAR JERONIMO</v>
          </cell>
          <cell r="D1056">
            <v>91204633</v>
          </cell>
        </row>
        <row r="1057">
          <cell r="A1057">
            <v>7038224</v>
          </cell>
          <cell r="B1057" t="str">
            <v>ALVEAR VARGAS, YAMIL</v>
          </cell>
          <cell r="D1057">
            <v>18920585</v>
          </cell>
        </row>
        <row r="1058">
          <cell r="A1058">
            <v>7038225</v>
          </cell>
          <cell r="B1058" t="str">
            <v>ARRIETA MORALES, VICTOR HUGO</v>
          </cell>
          <cell r="D1058">
            <v>13890800</v>
          </cell>
        </row>
        <row r="1059">
          <cell r="A1059">
            <v>7038226</v>
          </cell>
          <cell r="B1059" t="str">
            <v>AVELLANEDA PALOMINO, JAIME</v>
          </cell>
          <cell r="D1059">
            <v>79112250</v>
          </cell>
        </row>
        <row r="1060">
          <cell r="A1060">
            <v>7038227</v>
          </cell>
          <cell r="B1060" t="str">
            <v>AVILA ROMERO, MIGUEL AUGUSTO</v>
          </cell>
          <cell r="D1060">
            <v>80408964</v>
          </cell>
        </row>
        <row r="1061">
          <cell r="A1061">
            <v>7038229</v>
          </cell>
          <cell r="B1061" t="str">
            <v>CAMARGO MARTINEZ, ANA SOFIA</v>
          </cell>
          <cell r="D1061">
            <v>51608371</v>
          </cell>
        </row>
        <row r="1062">
          <cell r="A1062">
            <v>7038231</v>
          </cell>
          <cell r="B1062" t="str">
            <v>CAMPUZANO ESCOBAR, ALVARO</v>
          </cell>
          <cell r="D1062">
            <v>70561328</v>
          </cell>
        </row>
        <row r="1063">
          <cell r="A1063">
            <v>7038232</v>
          </cell>
          <cell r="B1063" t="str">
            <v>CAPERA LOMBO, BENJAMIN</v>
          </cell>
          <cell r="D1063">
            <v>12099845</v>
          </cell>
        </row>
        <row r="1064">
          <cell r="A1064">
            <v>7038233</v>
          </cell>
          <cell r="B1064" t="str">
            <v>CARABALLO CANTILLO, JUAN ALBERTO</v>
          </cell>
          <cell r="D1064">
            <v>8668488</v>
          </cell>
        </row>
        <row r="1065">
          <cell r="A1065">
            <v>7038234</v>
          </cell>
          <cell r="B1065" t="str">
            <v>CARMONA GIRON, GUIDO</v>
          </cell>
          <cell r="D1065">
            <v>12126770</v>
          </cell>
        </row>
        <row r="1066">
          <cell r="A1066">
            <v>7038235</v>
          </cell>
          <cell r="B1066" t="str">
            <v>CASADIEGO ANGARITA, JESUS ARMANDO</v>
          </cell>
          <cell r="D1066">
            <v>13360793</v>
          </cell>
        </row>
        <row r="1067">
          <cell r="A1067">
            <v>7038237</v>
          </cell>
          <cell r="B1067" t="str">
            <v>CORREDOR MALDONADO, ALFREDO</v>
          </cell>
          <cell r="D1067">
            <v>19169940</v>
          </cell>
        </row>
        <row r="1068">
          <cell r="A1068">
            <v>7038238</v>
          </cell>
          <cell r="B1068" t="str">
            <v>CORTES HERNANDEZ, RUBEN DARIO</v>
          </cell>
          <cell r="D1068">
            <v>19478375</v>
          </cell>
        </row>
        <row r="1069">
          <cell r="A1069">
            <v>7038240</v>
          </cell>
          <cell r="B1069" t="str">
            <v>FLOREZ GALLO, SIMON</v>
          </cell>
          <cell r="D1069">
            <v>17351747</v>
          </cell>
        </row>
        <row r="1070">
          <cell r="A1070">
            <v>7038241</v>
          </cell>
          <cell r="B1070" t="str">
            <v>GAITAN GONZALEZ, JOSE JOAQUIN</v>
          </cell>
          <cell r="D1070">
            <v>19288954</v>
          </cell>
        </row>
        <row r="1071">
          <cell r="A1071">
            <v>7038242</v>
          </cell>
          <cell r="B1071" t="str">
            <v>GARZON ROCHA, JUAN DE DIOS</v>
          </cell>
          <cell r="D1071">
            <v>3069022</v>
          </cell>
        </row>
        <row r="1072">
          <cell r="A1072">
            <v>7038243</v>
          </cell>
          <cell r="B1072" t="str">
            <v>GIRALDO OLARTE, MARIO HERNAN</v>
          </cell>
          <cell r="D1072">
            <v>10158993</v>
          </cell>
        </row>
        <row r="1073">
          <cell r="A1073">
            <v>7038244</v>
          </cell>
          <cell r="B1073" t="str">
            <v>GONZALEZ ESCOBAR, JUAN CARLOS</v>
          </cell>
          <cell r="D1073">
            <v>79325136</v>
          </cell>
        </row>
        <row r="1074">
          <cell r="A1074">
            <v>7038245</v>
          </cell>
          <cell r="B1074" t="str">
            <v>GONZALEZ LEIVA, MARIA OLGA</v>
          </cell>
          <cell r="D1074">
            <v>41706356</v>
          </cell>
        </row>
        <row r="1075">
          <cell r="A1075">
            <v>7038246</v>
          </cell>
          <cell r="B1075" t="str">
            <v>GONZALEZ PINTO, SANDRA</v>
          </cell>
          <cell r="D1075">
            <v>51919483</v>
          </cell>
        </row>
        <row r="1076">
          <cell r="A1076">
            <v>7038247</v>
          </cell>
          <cell r="B1076" t="str">
            <v>GUTIERREZ CHARRY, HIBETH</v>
          </cell>
          <cell r="D1076">
            <v>26444728</v>
          </cell>
        </row>
        <row r="1077">
          <cell r="A1077">
            <v>7038249</v>
          </cell>
          <cell r="B1077" t="str">
            <v>JIMENEZ ROMERO, ADONAY</v>
          </cell>
          <cell r="D1077">
            <v>17583346</v>
          </cell>
        </row>
        <row r="1078">
          <cell r="A1078">
            <v>7038250</v>
          </cell>
          <cell r="B1078" t="str">
            <v>JIMENEZ FORERO, NELSON FERNANDO</v>
          </cell>
          <cell r="D1078">
            <v>16656552</v>
          </cell>
        </row>
        <row r="1079">
          <cell r="A1079">
            <v>7038251</v>
          </cell>
          <cell r="B1079" t="str">
            <v>JURADO EUGENIO, MAXIMILIANO</v>
          </cell>
          <cell r="D1079">
            <v>79331241</v>
          </cell>
        </row>
        <row r="1080">
          <cell r="A1080">
            <v>7038252</v>
          </cell>
          <cell r="B1080" t="str">
            <v>LEON, CARLOS GERMAN</v>
          </cell>
          <cell r="D1080">
            <v>17314871</v>
          </cell>
        </row>
        <row r="1081">
          <cell r="A1081">
            <v>7038253</v>
          </cell>
          <cell r="B1081" t="str">
            <v>LOPEZ SANABRIA, MAURICIO</v>
          </cell>
          <cell r="D1081">
            <v>19429730</v>
          </cell>
        </row>
        <row r="1082">
          <cell r="A1082">
            <v>7038254</v>
          </cell>
          <cell r="B1082" t="str">
            <v>MARTINEZ BARBOSA, LUIS EMILIO</v>
          </cell>
          <cell r="D1082">
            <v>14213048</v>
          </cell>
        </row>
        <row r="1083">
          <cell r="A1083">
            <v>7038255</v>
          </cell>
          <cell r="B1083" t="str">
            <v>MARTINEZ URIBE, GERMAN</v>
          </cell>
          <cell r="D1083">
            <v>79324282</v>
          </cell>
        </row>
        <row r="1084">
          <cell r="A1084">
            <v>7038257</v>
          </cell>
          <cell r="B1084" t="str">
            <v>MENDEZ LOZANO, MARIO FERNANDO</v>
          </cell>
          <cell r="D1084">
            <v>19458498</v>
          </cell>
        </row>
        <row r="1085">
          <cell r="A1085">
            <v>7038258</v>
          </cell>
          <cell r="B1085" t="str">
            <v>MORA MARTINEZ, JOSE MARTIN</v>
          </cell>
          <cell r="D1085">
            <v>19124634</v>
          </cell>
        </row>
        <row r="1086">
          <cell r="A1086">
            <v>7038259</v>
          </cell>
          <cell r="B1086" t="str">
            <v>MORALES BULLA, JORGE ALBERTO</v>
          </cell>
          <cell r="D1086">
            <v>4076194</v>
          </cell>
        </row>
        <row r="1087">
          <cell r="A1087">
            <v>7038260</v>
          </cell>
          <cell r="B1087" t="str">
            <v>NARVAEZ CORTES, MIGUEL</v>
          </cell>
          <cell r="D1087">
            <v>18105646</v>
          </cell>
        </row>
        <row r="1088">
          <cell r="A1088">
            <v>7038262</v>
          </cell>
          <cell r="B1088" t="str">
            <v>ORTEGA MONCADA, HECTOR JULIO</v>
          </cell>
          <cell r="D1088">
            <v>18913021</v>
          </cell>
        </row>
        <row r="1089">
          <cell r="A1089">
            <v>7038264</v>
          </cell>
          <cell r="B1089" t="str">
            <v>PABON, LUIS</v>
          </cell>
          <cell r="D1089">
            <v>88135291</v>
          </cell>
        </row>
        <row r="1090">
          <cell r="A1090">
            <v>7038265</v>
          </cell>
          <cell r="B1090" t="str">
            <v>PASTRANA SUPELANO, WILLIAM HERNANDO</v>
          </cell>
          <cell r="D1090">
            <v>12205254</v>
          </cell>
        </row>
        <row r="1091">
          <cell r="A1091">
            <v>7038266</v>
          </cell>
          <cell r="B1091" t="str">
            <v>PEDROZA DE ALVARADO, CECILIA</v>
          </cell>
          <cell r="D1091">
            <v>37793439</v>
          </cell>
        </row>
        <row r="1092">
          <cell r="A1092">
            <v>7038267</v>
          </cell>
          <cell r="B1092" t="str">
            <v>PEREZ DIAZ, CLAUDIA MYRIAM</v>
          </cell>
          <cell r="D1092">
            <v>51904514</v>
          </cell>
        </row>
        <row r="1093">
          <cell r="A1093">
            <v>7038268</v>
          </cell>
          <cell r="B1093" t="str">
            <v>QUINTANA, NUBIA</v>
          </cell>
          <cell r="D1093">
            <v>39774112</v>
          </cell>
        </row>
        <row r="1094">
          <cell r="A1094">
            <v>7038270</v>
          </cell>
          <cell r="B1094" t="str">
            <v>RIFALDO VELASQUEZ, ARMANDO</v>
          </cell>
          <cell r="D1094">
            <v>10164909</v>
          </cell>
        </row>
        <row r="1095">
          <cell r="A1095">
            <v>7038271</v>
          </cell>
          <cell r="B1095" t="str">
            <v>RINCON ACOSTA, HUGO</v>
          </cell>
          <cell r="D1095">
            <v>5730851</v>
          </cell>
        </row>
        <row r="1096">
          <cell r="A1096">
            <v>7038272</v>
          </cell>
          <cell r="B1096" t="str">
            <v>RODRIGUEZ, LUIS ANTONIO</v>
          </cell>
          <cell r="D1096">
            <v>19410083</v>
          </cell>
        </row>
        <row r="1097">
          <cell r="A1097">
            <v>7038273</v>
          </cell>
          <cell r="B1097" t="str">
            <v>RODRIGUEZ DE LA PEÑA, CARLOS EDUARD</v>
          </cell>
          <cell r="D1097">
            <v>19485908</v>
          </cell>
        </row>
        <row r="1098">
          <cell r="A1098">
            <v>7038274</v>
          </cell>
          <cell r="B1098" t="str">
            <v>RODRIGUEZ PUENTES, NOEL</v>
          </cell>
          <cell r="D1098">
            <v>19135099</v>
          </cell>
        </row>
        <row r="1099">
          <cell r="A1099">
            <v>7038275</v>
          </cell>
          <cell r="B1099" t="str">
            <v>ROZO TORRES, DIANA CRISTINA</v>
          </cell>
          <cell r="D1099">
            <v>41602433</v>
          </cell>
        </row>
        <row r="1100">
          <cell r="A1100">
            <v>7038277</v>
          </cell>
          <cell r="B1100" t="str">
            <v>SANCHEZ DIAZ, HERIBERTO</v>
          </cell>
          <cell r="D1100">
            <v>19342350</v>
          </cell>
        </row>
        <row r="1101">
          <cell r="A1101">
            <v>7038279</v>
          </cell>
          <cell r="B1101" t="str">
            <v>SARMIENTO VARGAS, CARLOS MIGUEL</v>
          </cell>
          <cell r="D1101">
            <v>2972145</v>
          </cell>
        </row>
        <row r="1102">
          <cell r="A1102">
            <v>7038280</v>
          </cell>
          <cell r="B1102" t="str">
            <v>SEGURA RODRIGUEZ, JAIRO CESAR</v>
          </cell>
          <cell r="D1102">
            <v>19358822</v>
          </cell>
        </row>
        <row r="1103">
          <cell r="A1103">
            <v>7038281</v>
          </cell>
          <cell r="B1103" t="str">
            <v>SILVA ARENAS, GILBERTO</v>
          </cell>
          <cell r="D1103">
            <v>19180168</v>
          </cell>
        </row>
        <row r="1104">
          <cell r="A1104">
            <v>7038282</v>
          </cell>
          <cell r="B1104" t="str">
            <v>SOLANO SUAREZ, PABLO ALONSO</v>
          </cell>
          <cell r="D1104">
            <v>88143088</v>
          </cell>
        </row>
        <row r="1105">
          <cell r="A1105">
            <v>7038283</v>
          </cell>
          <cell r="B1105" t="str">
            <v>TELLEZ CRUZ, JAVIER</v>
          </cell>
          <cell r="D1105">
            <v>79108819</v>
          </cell>
        </row>
        <row r="1106">
          <cell r="A1106">
            <v>7038284</v>
          </cell>
          <cell r="B1106" t="str">
            <v>TORRES PERILLA, CARLOS HERNANDO</v>
          </cell>
          <cell r="D1106">
            <v>9658900</v>
          </cell>
        </row>
        <row r="1107">
          <cell r="A1107">
            <v>7038285</v>
          </cell>
          <cell r="B1107" t="str">
            <v>TRUJILLO CUENCA, CARLOS</v>
          </cell>
          <cell r="D1107">
            <v>12120279</v>
          </cell>
        </row>
        <row r="1108">
          <cell r="A1108">
            <v>7038286</v>
          </cell>
          <cell r="B1108" t="str">
            <v>URAN VELEZ, CARLOS MARIO</v>
          </cell>
          <cell r="D1108">
            <v>71619167</v>
          </cell>
        </row>
        <row r="1109">
          <cell r="A1109">
            <v>7038287</v>
          </cell>
          <cell r="B1109" t="str">
            <v>VELASQUEZ FLOREZ, JUAN</v>
          </cell>
          <cell r="D1109">
            <v>13890883</v>
          </cell>
        </row>
        <row r="1110">
          <cell r="A1110">
            <v>7038288</v>
          </cell>
          <cell r="B1110" t="str">
            <v>VENEGAS HERNANDEZ, JESUS MARIA</v>
          </cell>
          <cell r="D1110">
            <v>17153352</v>
          </cell>
        </row>
        <row r="1111">
          <cell r="A1111">
            <v>7038290</v>
          </cell>
          <cell r="B1111" t="str">
            <v>ZAPATA CRUZ, BLAS RAFAEL</v>
          </cell>
          <cell r="D1111">
            <v>7482517</v>
          </cell>
        </row>
        <row r="1112">
          <cell r="A1112">
            <v>7038291</v>
          </cell>
          <cell r="B1112" t="str">
            <v>HEREDIA VELANDIA, UVALDO</v>
          </cell>
          <cell r="D1112">
            <v>9525107</v>
          </cell>
        </row>
        <row r="1113">
          <cell r="A1113">
            <v>7038292</v>
          </cell>
          <cell r="B1113" t="str">
            <v>MURCIA, DIANA DEL PILAR</v>
          </cell>
          <cell r="D1113">
            <v>52061465</v>
          </cell>
        </row>
        <row r="1114">
          <cell r="A1114">
            <v>7038293</v>
          </cell>
          <cell r="B1114" t="str">
            <v>MARTINEZ RODRIGUEZ, GERMAN ALBERTO</v>
          </cell>
          <cell r="D1114">
            <v>91280491</v>
          </cell>
        </row>
        <row r="1115">
          <cell r="A1115">
            <v>7038294</v>
          </cell>
          <cell r="B1115" t="str">
            <v>MURCIA SANCHEZ, JOHIMBO</v>
          </cell>
          <cell r="D1115">
            <v>12131435</v>
          </cell>
        </row>
        <row r="1116">
          <cell r="A1116">
            <v>7038295</v>
          </cell>
          <cell r="B1116" t="str">
            <v>AREVALO BARON, LUZ MERY</v>
          </cell>
          <cell r="D1116">
            <v>35323815</v>
          </cell>
        </row>
        <row r="1117">
          <cell r="A1117">
            <v>7038296</v>
          </cell>
          <cell r="B1117" t="str">
            <v>FREITTE, WILSON</v>
          </cell>
          <cell r="D1117">
            <v>9656644</v>
          </cell>
        </row>
        <row r="1118">
          <cell r="A1118">
            <v>7038298</v>
          </cell>
          <cell r="B1118" t="str">
            <v>PLATA MARINO, CARLOS ALBERTO</v>
          </cell>
          <cell r="D1118">
            <v>79555064</v>
          </cell>
        </row>
        <row r="1119">
          <cell r="A1119">
            <v>7038300</v>
          </cell>
          <cell r="B1119" t="str">
            <v>SANCHEZ TORRES, JULIAN</v>
          </cell>
          <cell r="D1119">
            <v>74857667</v>
          </cell>
        </row>
        <row r="1120">
          <cell r="A1120">
            <v>7038301</v>
          </cell>
          <cell r="B1120" t="str">
            <v>SUAREZ TRASLAVINA, HECTOR DAVID</v>
          </cell>
          <cell r="D1120">
            <v>13953340</v>
          </cell>
        </row>
        <row r="1121">
          <cell r="A1121">
            <v>7038303</v>
          </cell>
          <cell r="B1121" t="str">
            <v>ROSALES OLIVEROS, JULIO</v>
          </cell>
          <cell r="D1121">
            <v>79488510</v>
          </cell>
        </row>
        <row r="1122">
          <cell r="A1122">
            <v>7038305</v>
          </cell>
          <cell r="B1122" t="str">
            <v>MALDONADO ROPERO, RIGOBERTO</v>
          </cell>
          <cell r="D1122">
            <v>9658504</v>
          </cell>
        </row>
        <row r="1123">
          <cell r="A1123">
            <v>7038307</v>
          </cell>
          <cell r="B1123" t="str">
            <v>JARAMILLO PELAEZ, OSCAR JULIAN</v>
          </cell>
          <cell r="D1123">
            <v>94279148</v>
          </cell>
        </row>
        <row r="1124">
          <cell r="A1124">
            <v>7038308</v>
          </cell>
          <cell r="B1124" t="str">
            <v>DIAZ SANCHEZ, EDILSON</v>
          </cell>
          <cell r="D1124">
            <v>79641987</v>
          </cell>
        </row>
        <row r="1125">
          <cell r="A1125">
            <v>7038309</v>
          </cell>
          <cell r="B1125" t="str">
            <v>SALAZAR SARMIENTO, JORGE MARIO</v>
          </cell>
          <cell r="D1125">
            <v>98546809</v>
          </cell>
        </row>
        <row r="1126">
          <cell r="A1126">
            <v>7038310</v>
          </cell>
          <cell r="B1126" t="str">
            <v>BARON MORA, CARLOS JULIO</v>
          </cell>
          <cell r="D1126">
            <v>79486965</v>
          </cell>
        </row>
        <row r="1127">
          <cell r="A1127">
            <v>7038311</v>
          </cell>
          <cell r="B1127" t="str">
            <v>BOTIA BERNAL, DISNEY</v>
          </cell>
          <cell r="D1127">
            <v>9658806</v>
          </cell>
        </row>
        <row r="1128">
          <cell r="A1128">
            <v>7038312</v>
          </cell>
          <cell r="B1128" t="str">
            <v>CACERES NINO, VICTOR MANUEL</v>
          </cell>
          <cell r="D1128">
            <v>74846733</v>
          </cell>
        </row>
        <row r="1129">
          <cell r="A1129">
            <v>7038313</v>
          </cell>
          <cell r="B1129" t="str">
            <v>CERQUERA TOVAR, LUIS ARMANDO</v>
          </cell>
          <cell r="D1129">
            <v>7694337</v>
          </cell>
        </row>
        <row r="1130">
          <cell r="A1130">
            <v>7038315</v>
          </cell>
          <cell r="B1130" t="str">
            <v>DUENAS CAMARGO, WILSON</v>
          </cell>
          <cell r="D1130">
            <v>9659890</v>
          </cell>
        </row>
        <row r="1131">
          <cell r="A1131">
            <v>7038316</v>
          </cell>
          <cell r="B1131" t="str">
            <v>GAITAN PARRA, LUIS EDUARDO</v>
          </cell>
          <cell r="D1131">
            <v>9656292</v>
          </cell>
        </row>
        <row r="1132">
          <cell r="A1132">
            <v>7038317</v>
          </cell>
          <cell r="B1132" t="str">
            <v>ORREGO PARRA, JAMES</v>
          </cell>
          <cell r="D1132">
            <v>8731234</v>
          </cell>
        </row>
        <row r="1133">
          <cell r="A1133">
            <v>7038319</v>
          </cell>
          <cell r="B1133" t="str">
            <v>PALOMAR SILVA, RAMIRO</v>
          </cell>
          <cell r="D1133">
            <v>83220847</v>
          </cell>
        </row>
        <row r="1134">
          <cell r="A1134">
            <v>7038320</v>
          </cell>
          <cell r="B1134" t="str">
            <v>PENA SOLER, PLUTARCO</v>
          </cell>
          <cell r="D1134">
            <v>9659027</v>
          </cell>
        </row>
        <row r="1135">
          <cell r="A1135">
            <v>7038321</v>
          </cell>
          <cell r="B1135" t="str">
            <v>RODRIGUEZ ROZO, LUIS FERNANDO</v>
          </cell>
          <cell r="D1135">
            <v>11230344</v>
          </cell>
        </row>
        <row r="1136">
          <cell r="A1136">
            <v>7038322</v>
          </cell>
          <cell r="B1136" t="str">
            <v>RODRIGUEZ RODRIGUEZ, MILLER</v>
          </cell>
          <cell r="D1136">
            <v>6609524</v>
          </cell>
        </row>
        <row r="1137">
          <cell r="A1137">
            <v>7038323</v>
          </cell>
          <cell r="B1137" t="str">
            <v>ROJAS CORREA, WILLIAM FERNANDO</v>
          </cell>
          <cell r="D1137">
            <v>9395036</v>
          </cell>
        </row>
        <row r="1138">
          <cell r="A1138">
            <v>7038325</v>
          </cell>
          <cell r="B1138" t="str">
            <v>VELASCO BARRETO, JUAN CARLOS</v>
          </cell>
          <cell r="D1138">
            <v>79384156</v>
          </cell>
        </row>
        <row r="1139">
          <cell r="A1139">
            <v>7038326</v>
          </cell>
          <cell r="B1139" t="str">
            <v>RODRIGUEZ LOPEZ, JAIME ALBERTO</v>
          </cell>
          <cell r="D1139">
            <v>17161539</v>
          </cell>
        </row>
        <row r="1140">
          <cell r="A1140">
            <v>7038327</v>
          </cell>
          <cell r="B1140" t="str">
            <v>CUARTAS CHACON, DAVID ANTONIO</v>
          </cell>
          <cell r="D1140">
            <v>79362205</v>
          </cell>
        </row>
        <row r="1141">
          <cell r="A1141">
            <v>7038328</v>
          </cell>
          <cell r="B1141" t="str">
            <v>SUAREZ PUERTA, NELSON</v>
          </cell>
          <cell r="D1141">
            <v>19330574</v>
          </cell>
        </row>
        <row r="1142">
          <cell r="A1142">
            <v>7038329</v>
          </cell>
          <cell r="B1142" t="str">
            <v>SALAZAR PEREZ, JOSE ANTONIO</v>
          </cell>
          <cell r="D1142">
            <v>74326108</v>
          </cell>
        </row>
        <row r="1143">
          <cell r="A1143">
            <v>7038330</v>
          </cell>
          <cell r="B1143" t="str">
            <v>GARZON CASTAÑEDA, ADRIAN</v>
          </cell>
          <cell r="D1143">
            <v>10181850</v>
          </cell>
        </row>
        <row r="1144">
          <cell r="A1144">
            <v>7038331</v>
          </cell>
          <cell r="B1144" t="str">
            <v>VANEGAS MUÑOZ, SALOMON</v>
          </cell>
          <cell r="D1144">
            <v>7684502</v>
          </cell>
        </row>
        <row r="1145">
          <cell r="A1145">
            <v>7038332</v>
          </cell>
          <cell r="B1145" t="str">
            <v>MURILLO RADA, DUBERNEY</v>
          </cell>
          <cell r="D1145">
            <v>72200699</v>
          </cell>
        </row>
        <row r="1146">
          <cell r="A1146">
            <v>7038333</v>
          </cell>
          <cell r="B1146" t="str">
            <v>CASTANO PAVA, MAURICIO</v>
          </cell>
          <cell r="D1146">
            <v>12124201</v>
          </cell>
        </row>
        <row r="1147">
          <cell r="A1147">
            <v>7038334</v>
          </cell>
          <cell r="B1147" t="str">
            <v>ROBLES SILVA, DIEGO LEONARDO</v>
          </cell>
          <cell r="D1147">
            <v>79297132</v>
          </cell>
        </row>
        <row r="1148">
          <cell r="A1148">
            <v>7038335</v>
          </cell>
          <cell r="B1148" t="str">
            <v>CARRANZA CORBODA, ADRIANA</v>
          </cell>
          <cell r="D1148">
            <v>52111543</v>
          </cell>
        </row>
        <row r="1149">
          <cell r="A1149">
            <v>7038336</v>
          </cell>
          <cell r="B1149" t="str">
            <v>PERDOMO, TERESA DE JESUS</v>
          </cell>
          <cell r="D1149">
            <v>36163283</v>
          </cell>
        </row>
        <row r="1150">
          <cell r="A1150">
            <v>7038337</v>
          </cell>
          <cell r="B1150" t="str">
            <v>GAITAN MARQUEZ, JAVIER ENRIQUE</v>
          </cell>
          <cell r="D1150">
            <v>79684036</v>
          </cell>
        </row>
        <row r="1151">
          <cell r="A1151">
            <v>7038338</v>
          </cell>
          <cell r="B1151" t="str">
            <v>QUINTANA BUITRAGO, NILSON JAVIER</v>
          </cell>
          <cell r="D1151">
            <v>74752184</v>
          </cell>
        </row>
        <row r="1152">
          <cell r="A1152">
            <v>7038339</v>
          </cell>
          <cell r="B1152" t="str">
            <v>VELA PEÑA, JOSE DAVID</v>
          </cell>
          <cell r="D1152">
            <v>11438855</v>
          </cell>
        </row>
        <row r="1153">
          <cell r="A1153">
            <v>7038340</v>
          </cell>
          <cell r="B1153" t="str">
            <v>VARON CHAVEZ, JOSE RAUL</v>
          </cell>
          <cell r="D1153">
            <v>79063318</v>
          </cell>
        </row>
        <row r="1154">
          <cell r="A1154">
            <v>7038341</v>
          </cell>
          <cell r="B1154" t="str">
            <v>IZQUIERDO CORONADO, GUILLERMO</v>
          </cell>
          <cell r="D1154">
            <v>94313195</v>
          </cell>
        </row>
        <row r="1155">
          <cell r="A1155">
            <v>7038342</v>
          </cell>
          <cell r="B1155" t="str">
            <v>ORTIZ CABRERA, JAIME</v>
          </cell>
          <cell r="D1155">
            <v>12128131</v>
          </cell>
        </row>
        <row r="1156">
          <cell r="A1156">
            <v>7038343</v>
          </cell>
          <cell r="B1156" t="str">
            <v>PEREZ ENRIQUEZ, JOHN GUILLERMO</v>
          </cell>
          <cell r="D1156">
            <v>96187537</v>
          </cell>
        </row>
        <row r="1157">
          <cell r="A1157">
            <v>7038344</v>
          </cell>
          <cell r="B1157" t="str">
            <v>CABRERA OSORIO, JOHN JAIRO</v>
          </cell>
          <cell r="D1157">
            <v>7701844</v>
          </cell>
        </row>
        <row r="1158">
          <cell r="A1158">
            <v>7038345</v>
          </cell>
          <cell r="B1158" t="str">
            <v>CABRERA LOZANO, JAVIER</v>
          </cell>
          <cell r="D1158">
            <v>12128824</v>
          </cell>
        </row>
        <row r="1159">
          <cell r="A1159">
            <v>7038346</v>
          </cell>
          <cell r="B1159" t="str">
            <v>HERNANDEZ GONZALEZ, PEDRO EMILIO</v>
          </cell>
          <cell r="D1159">
            <v>79308693</v>
          </cell>
        </row>
        <row r="1160">
          <cell r="A1160">
            <v>7038347</v>
          </cell>
          <cell r="B1160" t="str">
            <v>PEREZ MUÑOZ, JOHN RICARDO</v>
          </cell>
          <cell r="D1160">
            <v>9396124</v>
          </cell>
        </row>
        <row r="1161">
          <cell r="A1161">
            <v>7038348</v>
          </cell>
          <cell r="B1161" t="str">
            <v>MIRANDA MONTANEZ, CARLOS</v>
          </cell>
          <cell r="D1161">
            <v>91497853</v>
          </cell>
        </row>
        <row r="1162">
          <cell r="A1162">
            <v>7038351</v>
          </cell>
          <cell r="B1162" t="str">
            <v>GOMEZ BLANCO, ALBERTO</v>
          </cell>
          <cell r="D1162">
            <v>91070194</v>
          </cell>
        </row>
        <row r="1163">
          <cell r="A1163">
            <v>7038352</v>
          </cell>
          <cell r="B1163" t="str">
            <v>GUALDRON SUAREZ, GUILLERMO ALFONSO</v>
          </cell>
          <cell r="D1163">
            <v>13701059</v>
          </cell>
        </row>
        <row r="1164">
          <cell r="A1164">
            <v>7038353</v>
          </cell>
          <cell r="B1164" t="str">
            <v>CASTILLO, ALBERTO</v>
          </cell>
          <cell r="D1164">
            <v>19245409</v>
          </cell>
        </row>
        <row r="1165">
          <cell r="A1165">
            <v>7038355</v>
          </cell>
          <cell r="B1165" t="str">
            <v>CASSIANI SANTAMARIA, WILSON</v>
          </cell>
          <cell r="D1165">
            <v>91431245</v>
          </cell>
        </row>
        <row r="1166">
          <cell r="A1166">
            <v>7038356</v>
          </cell>
          <cell r="B1166" t="str">
            <v>CHAVARRO PINEDA, MARCO ANTONIO</v>
          </cell>
          <cell r="D1166">
            <v>13953338</v>
          </cell>
        </row>
        <row r="1167">
          <cell r="A1167">
            <v>7038357</v>
          </cell>
          <cell r="B1167" t="str">
            <v>PEREZ BARRAGAN, DONALDO DE JESUS</v>
          </cell>
          <cell r="D1167">
            <v>74322707</v>
          </cell>
        </row>
        <row r="1168">
          <cell r="A1168">
            <v>7038358</v>
          </cell>
          <cell r="B1168" t="str">
            <v>GONZALEZ MORALEZ, JAVIER FRANCISCO</v>
          </cell>
          <cell r="D1168">
            <v>79567006</v>
          </cell>
        </row>
        <row r="1169">
          <cell r="A1169">
            <v>7038359</v>
          </cell>
          <cell r="B1169" t="str">
            <v>VILLAMIL TORRES, RAFAEL</v>
          </cell>
          <cell r="D1169">
            <v>9658496</v>
          </cell>
        </row>
        <row r="1170">
          <cell r="A1170">
            <v>7038360</v>
          </cell>
          <cell r="B1170" t="str">
            <v>MEDINA MARTINEZ, JOSE ARBEY</v>
          </cell>
          <cell r="D1170">
            <v>7708789</v>
          </cell>
        </row>
        <row r="1171">
          <cell r="A1171">
            <v>7038361</v>
          </cell>
          <cell r="B1171" t="str">
            <v>TORRES NUÑEZ, ALEXANDER</v>
          </cell>
          <cell r="D1171">
            <v>83242824</v>
          </cell>
        </row>
        <row r="1172">
          <cell r="A1172">
            <v>7038362</v>
          </cell>
          <cell r="B1172" t="str">
            <v>PENAGOS VALENCIA, ARLAN</v>
          </cell>
          <cell r="D1172">
            <v>7702423</v>
          </cell>
        </row>
        <row r="1173">
          <cell r="A1173">
            <v>7038364</v>
          </cell>
          <cell r="B1173" t="str">
            <v>GOMEZ VANEGAS, CARLOS  ALBERTO</v>
          </cell>
          <cell r="D1173">
            <v>91073376</v>
          </cell>
        </row>
        <row r="1174">
          <cell r="A1174">
            <v>7038365</v>
          </cell>
          <cell r="B1174" t="str">
            <v>HERNANDEZ RAMOS, JUAN PABLO</v>
          </cell>
          <cell r="D1174">
            <v>79642229</v>
          </cell>
        </row>
        <row r="1175">
          <cell r="A1175">
            <v>7038367</v>
          </cell>
          <cell r="B1175" t="str">
            <v>TORRES OLAYA, OSCAR HARVEY</v>
          </cell>
          <cell r="D1175">
            <v>93369230</v>
          </cell>
        </row>
        <row r="1176">
          <cell r="A1176">
            <v>7038368</v>
          </cell>
          <cell r="B1176" t="str">
            <v>LONDONO OCHOA, DIEGO LUIS</v>
          </cell>
          <cell r="D1176">
            <v>71745585</v>
          </cell>
        </row>
        <row r="1177">
          <cell r="A1177">
            <v>7038369</v>
          </cell>
          <cell r="B1177" t="str">
            <v>TAMAYO RESTREPO, HILDA CRISTINA</v>
          </cell>
          <cell r="D1177">
            <v>39187702</v>
          </cell>
        </row>
        <row r="1178">
          <cell r="A1178">
            <v>7038370</v>
          </cell>
          <cell r="B1178" t="str">
            <v>LUQUE BARRIOS, CLAUDIA JOHANA</v>
          </cell>
          <cell r="D1178">
            <v>39791699</v>
          </cell>
        </row>
        <row r="1179">
          <cell r="A1179">
            <v>7038371</v>
          </cell>
          <cell r="B1179" t="str">
            <v>VELANDIA ROZO, MARIA TERESA</v>
          </cell>
          <cell r="D1179">
            <v>51999725</v>
          </cell>
        </row>
        <row r="1180">
          <cell r="A1180">
            <v>7038372</v>
          </cell>
          <cell r="B1180" t="str">
            <v>PENA PUENTES, VICTOR JULIO</v>
          </cell>
          <cell r="D1180">
            <v>7687436</v>
          </cell>
        </row>
        <row r="1181">
          <cell r="A1181">
            <v>7038375</v>
          </cell>
          <cell r="B1181" t="str">
            <v>ORTIZ LARA, WINSTON</v>
          </cell>
          <cell r="D1181">
            <v>12128295</v>
          </cell>
        </row>
        <row r="1182">
          <cell r="A1182">
            <v>7038377</v>
          </cell>
          <cell r="B1182" t="str">
            <v>NIETO BARRIOS, JORGE ENRIQUE</v>
          </cell>
          <cell r="D1182">
            <v>72131966</v>
          </cell>
        </row>
        <row r="1183">
          <cell r="A1183">
            <v>7038378</v>
          </cell>
          <cell r="B1183" t="str">
            <v>ACEVEDO LARA, ADRIANA JUDITH</v>
          </cell>
          <cell r="D1183">
            <v>32695441</v>
          </cell>
        </row>
        <row r="1184">
          <cell r="A1184">
            <v>7038379</v>
          </cell>
          <cell r="B1184" t="str">
            <v>TARACHE GUARIN, EDWIN MAURICIO</v>
          </cell>
          <cell r="D1184">
            <v>79396678</v>
          </cell>
        </row>
        <row r="1185">
          <cell r="A1185">
            <v>7038380</v>
          </cell>
          <cell r="B1185" t="str">
            <v>BERNAL DIAZ, ESMILDA</v>
          </cell>
          <cell r="D1185">
            <v>51792248</v>
          </cell>
        </row>
        <row r="1186">
          <cell r="A1186">
            <v>7038381</v>
          </cell>
          <cell r="B1186" t="str">
            <v>VILLAMIL FREYRE, EDGAR FABIO</v>
          </cell>
          <cell r="D1186">
            <v>79100570</v>
          </cell>
        </row>
        <row r="1187">
          <cell r="A1187">
            <v>7038382</v>
          </cell>
          <cell r="B1187" t="str">
            <v>CORREA CERRO, RICARDO JOSE</v>
          </cell>
          <cell r="D1187">
            <v>18760161</v>
          </cell>
        </row>
        <row r="1188">
          <cell r="A1188">
            <v>7038383</v>
          </cell>
          <cell r="B1188" t="str">
            <v>ALVAREZ GARZON, CESAR AUGUSTO</v>
          </cell>
          <cell r="D1188">
            <v>79778194</v>
          </cell>
        </row>
        <row r="1189">
          <cell r="A1189">
            <v>7038385</v>
          </cell>
          <cell r="B1189" t="str">
            <v>DIAZ BERNAL, ESILDA</v>
          </cell>
          <cell r="D1189">
            <v>65738065</v>
          </cell>
        </row>
        <row r="1190">
          <cell r="A1190">
            <v>7038386</v>
          </cell>
          <cell r="B1190" t="str">
            <v>CABEZAS GOMEZ, JORGE</v>
          </cell>
          <cell r="D1190">
            <v>79042467</v>
          </cell>
        </row>
        <row r="1191">
          <cell r="A1191">
            <v>7038388</v>
          </cell>
          <cell r="B1191" t="str">
            <v>PORRAS HERNANDEZ, CLAUDIA PATRICIA</v>
          </cell>
          <cell r="D1191">
            <v>52208293</v>
          </cell>
        </row>
        <row r="1192">
          <cell r="A1192">
            <v>7038390</v>
          </cell>
          <cell r="B1192" t="str">
            <v>RAMIREZ SUAREZ, CLAUDIA ELIZABETH</v>
          </cell>
          <cell r="D1192">
            <v>63330882</v>
          </cell>
        </row>
        <row r="1193">
          <cell r="A1193">
            <v>7038391</v>
          </cell>
          <cell r="B1193" t="str">
            <v>DUSSAN PASCUAS, BERNARDO</v>
          </cell>
          <cell r="D1193">
            <v>7686598</v>
          </cell>
        </row>
        <row r="1194">
          <cell r="A1194">
            <v>7038396</v>
          </cell>
          <cell r="B1194" t="str">
            <v>TORRES FORERO, MARIA CRISTINA</v>
          </cell>
          <cell r="D1194">
            <v>51851240</v>
          </cell>
        </row>
        <row r="1195">
          <cell r="A1195">
            <v>7038397</v>
          </cell>
          <cell r="B1195" t="str">
            <v>ACOSTA GAMBOA, ALFREDO</v>
          </cell>
          <cell r="D1195">
            <v>12123138</v>
          </cell>
        </row>
        <row r="1196">
          <cell r="A1196">
            <v>7038398</v>
          </cell>
          <cell r="B1196" t="str">
            <v>LUIS QUINTERO, HUMBERTO</v>
          </cell>
          <cell r="D1196">
            <v>79636673</v>
          </cell>
        </row>
        <row r="1197">
          <cell r="A1197">
            <v>7038399</v>
          </cell>
          <cell r="B1197" t="str">
            <v>ESPINEL MEJIA, HELBERT</v>
          </cell>
          <cell r="D1197">
            <v>91282591</v>
          </cell>
        </row>
        <row r="1198">
          <cell r="A1198">
            <v>7038400</v>
          </cell>
          <cell r="B1198" t="str">
            <v>GARIBELLO SOSSA, ALEJANDRA SOFIA</v>
          </cell>
          <cell r="D1198">
            <v>51697161</v>
          </cell>
        </row>
        <row r="1199">
          <cell r="A1199">
            <v>7038402</v>
          </cell>
          <cell r="B1199" t="str">
            <v>LOPEZ BERMUDEZ, JOSE HUMBERTO</v>
          </cell>
          <cell r="D1199">
            <v>4150826</v>
          </cell>
        </row>
        <row r="1200">
          <cell r="A1200">
            <v>7038403</v>
          </cell>
          <cell r="B1200" t="str">
            <v>SALAMANCA MOLANO, ETHNA YULY</v>
          </cell>
          <cell r="D1200">
            <v>47431817</v>
          </cell>
        </row>
        <row r="1201">
          <cell r="A1201">
            <v>7038404</v>
          </cell>
          <cell r="B1201" t="str">
            <v>GUARIN NAVARRO, PEDRO</v>
          </cell>
          <cell r="D1201">
            <v>72135193</v>
          </cell>
        </row>
        <row r="1202">
          <cell r="A1202">
            <v>7038405</v>
          </cell>
          <cell r="B1202" t="str">
            <v>PEREZ MARQUEZ, RUBER OBERTO</v>
          </cell>
          <cell r="D1202">
            <v>78691101</v>
          </cell>
        </row>
        <row r="1203">
          <cell r="A1203">
            <v>7038406</v>
          </cell>
          <cell r="B1203" t="str">
            <v>RODRIGUEZ PLAZAS, LILIANA</v>
          </cell>
          <cell r="D1203">
            <v>52017609</v>
          </cell>
        </row>
        <row r="1204">
          <cell r="A1204">
            <v>7038407</v>
          </cell>
          <cell r="B1204" t="str">
            <v>ARAQUE RODRIGUEZ, PATRICIO</v>
          </cell>
          <cell r="D1204">
            <v>79003499</v>
          </cell>
        </row>
        <row r="1205">
          <cell r="A1205">
            <v>7038409</v>
          </cell>
          <cell r="B1205" t="str">
            <v>NIETO SUAREZ, ALEXANDER</v>
          </cell>
          <cell r="D1205">
            <v>79004529</v>
          </cell>
        </row>
        <row r="1206">
          <cell r="A1206">
            <v>7038410</v>
          </cell>
          <cell r="B1206" t="str">
            <v>CHAVES OVIEDO, JAVIER MIGUEL</v>
          </cell>
          <cell r="D1206">
            <v>80419171</v>
          </cell>
        </row>
        <row r="1207">
          <cell r="A1207">
            <v>7038411</v>
          </cell>
          <cell r="B1207" t="str">
            <v>DUARTE PEREZ, ALEXANDER</v>
          </cell>
          <cell r="D1207">
            <v>79600110</v>
          </cell>
        </row>
        <row r="1208">
          <cell r="A1208">
            <v>7038412</v>
          </cell>
          <cell r="B1208" t="str">
            <v>LUNA PRADA, JOSE BALBINO</v>
          </cell>
          <cell r="D1208">
            <v>91261393</v>
          </cell>
        </row>
        <row r="1209">
          <cell r="A1209">
            <v>7038414</v>
          </cell>
          <cell r="B1209" t="str">
            <v>AVELLA GONZALEZ, FABIO ENRIQUE</v>
          </cell>
          <cell r="D1209">
            <v>9531851</v>
          </cell>
        </row>
        <row r="1210">
          <cell r="A1210">
            <v>7038415</v>
          </cell>
          <cell r="B1210" t="str">
            <v>MARTINEZ CIFUENTES, CESAR</v>
          </cell>
          <cell r="D1210">
            <v>80490720</v>
          </cell>
        </row>
        <row r="1211">
          <cell r="A1211">
            <v>7038416</v>
          </cell>
          <cell r="B1211" t="str">
            <v>TORRES SAENZ, MARY LUZ</v>
          </cell>
          <cell r="D1211">
            <v>52148664</v>
          </cell>
        </row>
        <row r="1212">
          <cell r="A1212">
            <v>7038418</v>
          </cell>
          <cell r="B1212" t="str">
            <v>GONZALEZ CASTIBLANCO, RUBIELA</v>
          </cell>
          <cell r="D1212">
            <v>52050322</v>
          </cell>
        </row>
        <row r="1213">
          <cell r="A1213">
            <v>7038422</v>
          </cell>
          <cell r="B1213" t="str">
            <v>GARCIA GAITAN, SANDRA LILIANA</v>
          </cell>
          <cell r="D1213">
            <v>52159720</v>
          </cell>
        </row>
        <row r="1214">
          <cell r="A1214">
            <v>7038425</v>
          </cell>
          <cell r="B1214" t="str">
            <v>OROZCO MONTOYA, JUAN DAVID</v>
          </cell>
          <cell r="D1214">
            <v>71772845</v>
          </cell>
        </row>
        <row r="1215">
          <cell r="A1215">
            <v>7038426</v>
          </cell>
          <cell r="B1215" t="str">
            <v>VERGARA MATTOS, NELSON DANILO</v>
          </cell>
          <cell r="D1215">
            <v>19289655</v>
          </cell>
        </row>
        <row r="1216">
          <cell r="A1216">
            <v>7038429</v>
          </cell>
          <cell r="B1216" t="str">
            <v>RODRIGUEZ RODRIGUEZ, CESAR ARMANDO</v>
          </cell>
          <cell r="D1216">
            <v>79508955</v>
          </cell>
        </row>
        <row r="1217">
          <cell r="A1217">
            <v>7038431</v>
          </cell>
          <cell r="B1217" t="str">
            <v>ZAPATA VANEGAS, ARMANDO</v>
          </cell>
          <cell r="D1217">
            <v>7692775</v>
          </cell>
        </row>
        <row r="1218">
          <cell r="A1218">
            <v>7038773</v>
          </cell>
          <cell r="B1218" t="str">
            <v>MARIN MONTOYA, LINA MARCELA</v>
          </cell>
          <cell r="D1218">
            <v>43592428</v>
          </cell>
        </row>
        <row r="1219">
          <cell r="A1219">
            <v>7044537</v>
          </cell>
          <cell r="B1219" t="str">
            <v>PALACIOS GONZALEZ, WILLIAM</v>
          </cell>
          <cell r="D1219">
            <v>13435258</v>
          </cell>
        </row>
        <row r="1220">
          <cell r="A1220">
            <v>7044715</v>
          </cell>
          <cell r="B1220" t="str">
            <v>NAVARRO LAZARO, JESUS</v>
          </cell>
          <cell r="D1220">
            <v>13363828</v>
          </cell>
        </row>
        <row r="1221">
          <cell r="A1221">
            <v>7046525</v>
          </cell>
          <cell r="B1221" t="str">
            <v>RIVERA, RODRIGO</v>
          </cell>
          <cell r="D1221">
            <v>7689935</v>
          </cell>
        </row>
        <row r="1222">
          <cell r="A1222">
            <v>7067205</v>
          </cell>
          <cell r="B1222" t="str">
            <v>COLMENARES ESTEVEZ, ALONSO</v>
          </cell>
          <cell r="D1222">
            <v>18262660</v>
          </cell>
        </row>
        <row r="1223">
          <cell r="A1223">
            <v>7067282</v>
          </cell>
          <cell r="B1223" t="str">
            <v>NARVAEZ TRUJILLO, NUBIA LILIANA</v>
          </cell>
          <cell r="D1223">
            <v>36303047</v>
          </cell>
        </row>
        <row r="1224">
          <cell r="A1224">
            <v>7074236</v>
          </cell>
          <cell r="B1224" t="str">
            <v>NAYCIR CORREA, HERIBERTO</v>
          </cell>
          <cell r="D1224">
            <v>13889956</v>
          </cell>
        </row>
        <row r="1225">
          <cell r="A1225">
            <v>7074244</v>
          </cell>
          <cell r="B1225" t="str">
            <v>GIRALDO VANEGAS, FRANCISCO JAVIER</v>
          </cell>
          <cell r="D1225">
            <v>7706153</v>
          </cell>
        </row>
        <row r="1226">
          <cell r="A1226">
            <v>7081552</v>
          </cell>
          <cell r="B1226" t="str">
            <v>CARBONO QUINTERO, ALBERTO</v>
          </cell>
          <cell r="D1226">
            <v>17654822</v>
          </cell>
        </row>
        <row r="1227">
          <cell r="A1227">
            <v>7086974</v>
          </cell>
          <cell r="B1227" t="str">
            <v>ESTEVEZ BUSTOS, JAIME ALDEMAR</v>
          </cell>
          <cell r="D1227">
            <v>79428785</v>
          </cell>
        </row>
        <row r="1228">
          <cell r="A1228">
            <v>7088792</v>
          </cell>
          <cell r="B1228" t="str">
            <v>WILSON, KEVIN</v>
          </cell>
          <cell r="D1228">
            <v>297148</v>
          </cell>
        </row>
        <row r="1229">
          <cell r="A1229">
            <v>7093452</v>
          </cell>
          <cell r="B1229" t="str">
            <v>FEIJOO CRUZ, MANUEL DAVID</v>
          </cell>
          <cell r="D1229">
            <v>19384340</v>
          </cell>
        </row>
        <row r="1230">
          <cell r="A1230">
            <v>7093453</v>
          </cell>
          <cell r="B1230" t="str">
            <v>GARCIA CORREAL, NESTOR AUGUSTO</v>
          </cell>
          <cell r="D1230">
            <v>19336061</v>
          </cell>
        </row>
        <row r="1231">
          <cell r="A1231">
            <v>7094112</v>
          </cell>
          <cell r="B1231" t="str">
            <v>BELLO RAMIREZ, JAIME</v>
          </cell>
          <cell r="D1231">
            <v>12126242</v>
          </cell>
        </row>
        <row r="1232">
          <cell r="A1232">
            <v>7094494</v>
          </cell>
          <cell r="B1232" t="str">
            <v>CASTANEDA DIAZ, RAFAEL EDUARDO</v>
          </cell>
          <cell r="D1232">
            <v>19480838</v>
          </cell>
        </row>
        <row r="1233">
          <cell r="A1233">
            <v>7094671</v>
          </cell>
          <cell r="B1233" t="str">
            <v>HERNANDEZ GIL, JULIO ROBERTO</v>
          </cell>
          <cell r="D1233">
            <v>13494109</v>
          </cell>
        </row>
        <row r="1234">
          <cell r="A1234">
            <v>7095932</v>
          </cell>
          <cell r="B1234" t="str">
            <v>GARCIA GONZALES, DILMA</v>
          </cell>
          <cell r="D1234">
            <v>51566646</v>
          </cell>
        </row>
        <row r="1235">
          <cell r="A1235">
            <v>7102405</v>
          </cell>
          <cell r="B1235" t="str">
            <v>PANTOJA BERNAL, AMPARO</v>
          </cell>
          <cell r="D1235">
            <v>39691982</v>
          </cell>
        </row>
        <row r="1236">
          <cell r="A1236">
            <v>7102600</v>
          </cell>
          <cell r="B1236" t="str">
            <v>HINOJOSA INFANTE, DANNY</v>
          </cell>
          <cell r="D1236">
            <v>47431391</v>
          </cell>
        </row>
        <row r="1237">
          <cell r="A1237">
            <v>7102687</v>
          </cell>
          <cell r="B1237" t="str">
            <v>PERAZA, FABIO RODRIGO</v>
          </cell>
          <cell r="D1237">
            <v>17590237</v>
          </cell>
        </row>
        <row r="1238">
          <cell r="A1238">
            <v>7102714</v>
          </cell>
          <cell r="B1238" t="str">
            <v>MARTINEZ MARINO, WILLINGTON</v>
          </cell>
          <cell r="D1238">
            <v>74811976</v>
          </cell>
        </row>
        <row r="1239">
          <cell r="A1239">
            <v>7102718</v>
          </cell>
          <cell r="B1239" t="str">
            <v>TORRES SILVA, JESUS A</v>
          </cell>
          <cell r="D1239">
            <v>9653331</v>
          </cell>
        </row>
        <row r="1240">
          <cell r="A1240">
            <v>7103020</v>
          </cell>
          <cell r="B1240" t="str">
            <v>Diaz, Carlos Alfonso</v>
          </cell>
          <cell r="D1240">
            <v>301760</v>
          </cell>
        </row>
        <row r="1241">
          <cell r="A1241">
            <v>7103062</v>
          </cell>
          <cell r="B1241" t="str">
            <v>TORIFIO SANCHEZ, SEGUNDO</v>
          </cell>
          <cell r="D1241">
            <v>79045692</v>
          </cell>
        </row>
        <row r="1242">
          <cell r="A1242">
            <v>7104304</v>
          </cell>
          <cell r="B1242" t="str">
            <v>CORTES PERDOMO, JUAN CARLOS</v>
          </cell>
          <cell r="D1242">
            <v>12132147</v>
          </cell>
        </row>
        <row r="1243">
          <cell r="A1243">
            <v>7104329</v>
          </cell>
          <cell r="B1243" t="str">
            <v>GIL VARGAS, ISABEL CRISTINA</v>
          </cell>
          <cell r="D1243">
            <v>43741381</v>
          </cell>
        </row>
        <row r="1244">
          <cell r="A1244">
            <v>7107037</v>
          </cell>
          <cell r="B1244" t="str">
            <v>REVELO MOLINA, CARLOS ORLANDO</v>
          </cell>
          <cell r="D1244">
            <v>79655531</v>
          </cell>
        </row>
        <row r="1245">
          <cell r="A1245">
            <v>7107733</v>
          </cell>
          <cell r="B1245" t="str">
            <v>WALTERO PERDOMO, CONRADO</v>
          </cell>
          <cell r="D1245">
            <v>7684613</v>
          </cell>
        </row>
        <row r="1246">
          <cell r="A1246">
            <v>7108853</v>
          </cell>
          <cell r="B1246" t="str">
            <v>DAY PAUL</v>
          </cell>
          <cell r="D1246">
            <v>203363</v>
          </cell>
        </row>
        <row r="1247">
          <cell r="A1247">
            <v>7110545</v>
          </cell>
          <cell r="B1247" t="str">
            <v>RIVERA, AMADOR</v>
          </cell>
          <cell r="D1247">
            <v>129390</v>
          </cell>
        </row>
        <row r="1248">
          <cell r="A1248">
            <v>7112109</v>
          </cell>
          <cell r="B1248" t="str">
            <v>VILLAMIZAR, ANUAR ENRIQUE</v>
          </cell>
          <cell r="D1248">
            <v>74859699</v>
          </cell>
        </row>
        <row r="1249">
          <cell r="A1249">
            <v>7112125</v>
          </cell>
          <cell r="B1249" t="str">
            <v>ARDILA OLIVEROS, BERTULFO</v>
          </cell>
          <cell r="D1249">
            <v>74857595</v>
          </cell>
        </row>
        <row r="1250">
          <cell r="A1250">
            <v>7112137</v>
          </cell>
          <cell r="B1250" t="str">
            <v>SANCHEZ TRONCOSO, MARIO RICARDO</v>
          </cell>
          <cell r="D1250">
            <v>93371889</v>
          </cell>
        </row>
        <row r="1251">
          <cell r="A1251">
            <v>7112280</v>
          </cell>
          <cell r="B1251" t="str">
            <v>ZARATE DIAZ, ROSSY GIOVANNA</v>
          </cell>
          <cell r="D1251">
            <v>52547480</v>
          </cell>
        </row>
        <row r="1252">
          <cell r="A1252">
            <v>7114456</v>
          </cell>
          <cell r="B1252" t="str">
            <v>RODRIGUEZ CADENA, CLAUDIA PATRICIA</v>
          </cell>
          <cell r="D1252">
            <v>51941084</v>
          </cell>
        </row>
        <row r="1253">
          <cell r="A1253">
            <v>7114458</v>
          </cell>
          <cell r="B1253" t="str">
            <v>PEREZ RONDON, LUZ ASTRID</v>
          </cell>
          <cell r="D1253">
            <v>52027587</v>
          </cell>
        </row>
        <row r="1254">
          <cell r="A1254">
            <v>7114459</v>
          </cell>
          <cell r="B1254" t="str">
            <v>CACUA BERNAL, JULIAN</v>
          </cell>
          <cell r="D1254">
            <v>19248701</v>
          </cell>
        </row>
        <row r="1255">
          <cell r="A1255">
            <v>7114964</v>
          </cell>
          <cell r="B1255" t="str">
            <v>TARAZONA GUZMAN, HERNANDO</v>
          </cell>
          <cell r="D1255">
            <v>11370114</v>
          </cell>
        </row>
        <row r="1256">
          <cell r="A1256">
            <v>7115075</v>
          </cell>
          <cell r="B1256" t="str">
            <v>PALACINO MUÑOZ, JORGE</v>
          </cell>
          <cell r="D1256">
            <v>19367816</v>
          </cell>
        </row>
      </sheetData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us Policy PM"/>
      <sheetName val="Pagos PM"/>
      <sheetName val="Listas"/>
      <sheetName val="Instrucciones"/>
      <sheetName val="COP"/>
    </sheetNames>
    <sheetDataSet>
      <sheetData sheetId="0"/>
      <sheetData sheetId="1"/>
      <sheetData sheetId="2">
        <row r="2">
          <cell r="A2" t="str">
            <v>Barranca</v>
          </cell>
          <cell r="B2" t="str">
            <v>BAROID</v>
          </cell>
          <cell r="D2" t="str">
            <v>Alange</v>
          </cell>
          <cell r="E2" t="str">
            <v>Enero de 2014</v>
          </cell>
        </row>
        <row r="3">
          <cell r="A3" t="str">
            <v>Bogotá</v>
          </cell>
          <cell r="B3" t="str">
            <v>CEMENTING</v>
          </cell>
          <cell r="D3" t="str">
            <v>BP</v>
          </cell>
          <cell r="E3" t="str">
            <v>Febrero de 2014</v>
          </cell>
        </row>
        <row r="4">
          <cell r="A4" t="str">
            <v>Cota</v>
          </cell>
          <cell r="B4" t="str">
            <v>HCT</v>
          </cell>
          <cell r="D4" t="str">
            <v>C&amp;C Energía</v>
          </cell>
          <cell r="E4" t="str">
            <v>Marzo de 2014</v>
          </cell>
        </row>
        <row r="5">
          <cell r="A5" t="str">
            <v>Funza</v>
          </cell>
          <cell r="B5" t="str">
            <v>IEM</v>
          </cell>
          <cell r="D5" t="str">
            <v>Cepcolsa</v>
          </cell>
          <cell r="E5" t="str">
            <v>Abril de 2014</v>
          </cell>
        </row>
        <row r="6">
          <cell r="A6" t="str">
            <v>Neiva</v>
          </cell>
          <cell r="B6" t="str">
            <v>PE</v>
          </cell>
          <cell r="D6" t="str">
            <v>CEPSA</v>
          </cell>
          <cell r="E6" t="str">
            <v>Mayo de 2014</v>
          </cell>
        </row>
        <row r="7">
          <cell r="A7" t="str">
            <v>Villavicencio</v>
          </cell>
          <cell r="B7" t="str">
            <v>PM</v>
          </cell>
          <cell r="D7" t="str">
            <v>Columbus Energy</v>
          </cell>
          <cell r="E7" t="str">
            <v>Junio de 2014</v>
          </cell>
        </row>
        <row r="8">
          <cell r="A8" t="str">
            <v>Yopal</v>
          </cell>
          <cell r="B8" t="str">
            <v>SAS</v>
          </cell>
          <cell r="D8" t="str">
            <v>Conequipos</v>
          </cell>
          <cell r="E8" t="str">
            <v>Julio de 2014</v>
          </cell>
        </row>
        <row r="9">
          <cell r="B9" t="str">
            <v>SDBS</v>
          </cell>
          <cell r="D9" t="str">
            <v>Consorcio Colombia Energy</v>
          </cell>
          <cell r="E9" t="str">
            <v>Agosto de 2014</v>
          </cell>
        </row>
        <row r="10">
          <cell r="B10" t="str">
            <v>SPERRY_DRILLING</v>
          </cell>
          <cell r="D10" t="str">
            <v>Drummond</v>
          </cell>
          <cell r="E10" t="str">
            <v>Septiembre de 2014</v>
          </cell>
        </row>
        <row r="11">
          <cell r="B11" t="str">
            <v>WPS</v>
          </cell>
          <cell r="D11" t="str">
            <v>Ecopetrol</v>
          </cell>
          <cell r="E11" t="str">
            <v>Octubre de 2014</v>
          </cell>
        </row>
        <row r="12">
          <cell r="B12" t="str">
            <v>BOOTS &amp; COOTS</v>
          </cell>
          <cell r="D12" t="str">
            <v>El triunfo</v>
          </cell>
          <cell r="E12" t="str">
            <v>Noviembre de 2014</v>
          </cell>
        </row>
        <row r="13">
          <cell r="B13" t="str">
            <v>TSS</v>
          </cell>
          <cell r="D13" t="str">
            <v>Emerald Energy</v>
          </cell>
          <cell r="E13" t="str">
            <v>Diciembre de 2014</v>
          </cell>
        </row>
        <row r="14">
          <cell r="D14" t="str">
            <v>Equion (BP)</v>
          </cell>
        </row>
        <row r="15">
          <cell r="D15" t="str">
            <v>Erazo Valencia</v>
          </cell>
        </row>
        <row r="16">
          <cell r="D16" t="str">
            <v>Geoproduction</v>
          </cell>
        </row>
        <row r="17">
          <cell r="D17" t="str">
            <v>Grantierra Energy</v>
          </cell>
        </row>
        <row r="18">
          <cell r="D18" t="str">
            <v>Great North Energy</v>
          </cell>
        </row>
        <row r="19">
          <cell r="D19" t="str">
            <v>Halliburton</v>
          </cell>
        </row>
        <row r="20">
          <cell r="D20" t="str">
            <v>Hocol Boyacá</v>
          </cell>
        </row>
        <row r="21">
          <cell r="D21" t="str">
            <v>Hocol Casanare Vichada</v>
          </cell>
        </row>
        <row r="22">
          <cell r="D22" t="str">
            <v>Hocol Huila</v>
          </cell>
        </row>
        <row r="23">
          <cell r="D23" t="str">
            <v>Hocol Meta</v>
          </cell>
        </row>
        <row r="24">
          <cell r="D24" t="str">
            <v>Hocol Piedemonte (casanare)</v>
          </cell>
        </row>
        <row r="25">
          <cell r="D25" t="str">
            <v>Hocol Sucre Magdalena</v>
          </cell>
        </row>
        <row r="26">
          <cell r="D26" t="str">
            <v>Hocol Tolima</v>
          </cell>
        </row>
        <row r="27">
          <cell r="D27" t="str">
            <v>HUPECOL</v>
          </cell>
        </row>
        <row r="28">
          <cell r="D28" t="str">
            <v>Interoil</v>
          </cell>
        </row>
        <row r="29">
          <cell r="D29" t="str">
            <v>ISLEMA</v>
          </cell>
        </row>
        <row r="30">
          <cell r="D30" t="str">
            <v>Kappa Resources</v>
          </cell>
        </row>
        <row r="31">
          <cell r="D31" t="str">
            <v>Lukoil Overseas</v>
          </cell>
        </row>
        <row r="32">
          <cell r="D32" t="str">
            <v>Mansarovar</v>
          </cell>
        </row>
        <row r="33">
          <cell r="D33" t="str">
            <v>Metapetroleum</v>
          </cell>
        </row>
        <row r="34">
          <cell r="D34" t="str">
            <v>Montecz</v>
          </cell>
        </row>
        <row r="35">
          <cell r="D35" t="str">
            <v>MPX</v>
          </cell>
        </row>
        <row r="36">
          <cell r="D36" t="str">
            <v>New Granada Energy</v>
          </cell>
        </row>
        <row r="37">
          <cell r="D37" t="str">
            <v>Occidental de Colombia</v>
          </cell>
        </row>
        <row r="38">
          <cell r="D38" t="str">
            <v>OMEGA ENERGY</v>
          </cell>
        </row>
        <row r="39">
          <cell r="D39" t="str">
            <v>Oxyandina</v>
          </cell>
        </row>
        <row r="40">
          <cell r="D40" t="str">
            <v>Pacific Stratus Energy</v>
          </cell>
        </row>
        <row r="41">
          <cell r="D41" t="str">
            <v>Parex Resources Ltda</v>
          </cell>
        </row>
        <row r="42">
          <cell r="D42" t="str">
            <v>Perenco</v>
          </cell>
        </row>
        <row r="43">
          <cell r="D43" t="str">
            <v>Petrobras Centro (Tolima)</v>
          </cell>
        </row>
        <row r="44">
          <cell r="D44" t="str">
            <v>Petrobras Norte (Casanare)</v>
          </cell>
        </row>
        <row r="45">
          <cell r="D45" t="str">
            <v>Petrobras Sur (Huila)</v>
          </cell>
        </row>
        <row r="46">
          <cell r="D46" t="str">
            <v>Petrobras TIBU</v>
          </cell>
        </row>
        <row r="47">
          <cell r="D47" t="str">
            <v>Petroleos del Norte</v>
          </cell>
        </row>
        <row r="48">
          <cell r="D48" t="str">
            <v>Petrominerales Huila</v>
          </cell>
        </row>
        <row r="49">
          <cell r="D49" t="str">
            <v>Petrominerales Putumayo</v>
          </cell>
        </row>
        <row r="50">
          <cell r="D50" t="str">
            <v>Petrotesting</v>
          </cell>
        </row>
        <row r="51">
          <cell r="D51" t="str">
            <v>Precisión</v>
          </cell>
        </row>
        <row r="52">
          <cell r="D52" t="str">
            <v>Ramshorn</v>
          </cell>
        </row>
        <row r="53">
          <cell r="D53" t="str">
            <v>Rancho Hermoso</v>
          </cell>
        </row>
        <row r="54">
          <cell r="D54" t="str">
            <v>Repsol</v>
          </cell>
        </row>
        <row r="55">
          <cell r="D55" t="str">
            <v>SOGOMI Energy</v>
          </cell>
        </row>
        <row r="56">
          <cell r="D56" t="str">
            <v>SOLANA</v>
          </cell>
        </row>
        <row r="57">
          <cell r="D57" t="str">
            <v>Tabasco Oil Company</v>
          </cell>
        </row>
        <row r="58">
          <cell r="D58" t="str">
            <v>Turkish Petroleum</v>
          </cell>
        </row>
        <row r="59">
          <cell r="D59" t="str">
            <v>Union Temporal Andina</v>
          </cell>
        </row>
        <row r="60">
          <cell r="D60" t="str">
            <v>Union Temporal IJP</v>
          </cell>
        </row>
        <row r="61">
          <cell r="D61" t="str">
            <v>Union Temporal Midas</v>
          </cell>
        </row>
        <row r="62">
          <cell r="D62" t="str">
            <v>Union Temporal Moriche</v>
          </cell>
        </row>
        <row r="63">
          <cell r="D63" t="str">
            <v>Union Temporal Petrocaribe</v>
          </cell>
        </row>
        <row r="64">
          <cell r="D64" t="str">
            <v>Varosa Energy</v>
          </cell>
        </row>
        <row r="65">
          <cell r="D65" t="str">
            <v>Weatherford</v>
          </cell>
        </row>
        <row r="66">
          <cell r="D66" t="str">
            <v>Well Logging S.A.</v>
          </cell>
        </row>
      </sheetData>
      <sheetData sheetId="3"/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Oct 09"/>
    </sheetNames>
    <sheetDataSet>
      <sheetData sheetId="0">
        <row r="5">
          <cell r="E5" t="str">
            <v>BP</v>
          </cell>
          <cell r="S5" t="str">
            <v>Aguilar William Javier</v>
          </cell>
        </row>
        <row r="6">
          <cell r="E6" t="str">
            <v>C &amp; C</v>
          </cell>
          <cell r="S6" t="str">
            <v>Amaya Carlos Mauricio</v>
          </cell>
        </row>
        <row r="7">
          <cell r="E7" t="str">
            <v>CEPCOLSA</v>
          </cell>
          <cell r="S7" t="str">
            <v>Amorocho Diana</v>
          </cell>
        </row>
        <row r="8">
          <cell r="E8" t="str">
            <v>ECOPETROL</v>
          </cell>
          <cell r="S8" t="str">
            <v>Bocanegra Lemus German Andres</v>
          </cell>
        </row>
        <row r="9">
          <cell r="E9" t="str">
            <v>Gran Tierra</v>
          </cell>
          <cell r="S9" t="str">
            <v>Borja Huber</v>
          </cell>
        </row>
        <row r="10">
          <cell r="E10" t="str">
            <v>HOCOL-BOYACA</v>
          </cell>
          <cell r="S10" t="str">
            <v>Bueno Alfonso</v>
          </cell>
        </row>
        <row r="11">
          <cell r="E11" t="str">
            <v>HOCOL-CASANARE VICHADA</v>
          </cell>
          <cell r="S11" t="str">
            <v>Camacho Omar</v>
          </cell>
        </row>
        <row r="12">
          <cell r="E12" t="str">
            <v>HOCOL-HUILA</v>
          </cell>
          <cell r="S12" t="str">
            <v>Casadiego Henry</v>
          </cell>
        </row>
        <row r="13">
          <cell r="E13" t="str">
            <v>HOCOL-META</v>
          </cell>
          <cell r="S13" t="str">
            <v>Castilla Alfredo</v>
          </cell>
        </row>
        <row r="14">
          <cell r="E14" t="str">
            <v>HOCOL-PIEDEMONTE-CASANARE</v>
          </cell>
          <cell r="S14" t="str">
            <v>Contreras David</v>
          </cell>
        </row>
        <row r="15">
          <cell r="E15" t="str">
            <v>HOCOL-SUCRE MAGADALENA</v>
          </cell>
          <cell r="S15" t="str">
            <v>Cubillos Jorge</v>
          </cell>
        </row>
        <row r="16">
          <cell r="E16" t="str">
            <v>HOCOL-TOLIMA</v>
          </cell>
          <cell r="S16" t="str">
            <v>Garces Juan Carlos</v>
          </cell>
        </row>
        <row r="17">
          <cell r="E17" t="str">
            <v>HUPECOL</v>
          </cell>
          <cell r="S17" t="str">
            <v>Gomez Andres Felipe</v>
          </cell>
        </row>
        <row r="18">
          <cell r="E18" t="str">
            <v>Lukoil</v>
          </cell>
          <cell r="S18" t="str">
            <v>Gutierrez Erwin</v>
          </cell>
        </row>
        <row r="19">
          <cell r="E19" t="str">
            <v>MANSAROVAR</v>
          </cell>
          <cell r="S19" t="str">
            <v>Gutierrez Roberto</v>
          </cell>
        </row>
        <row r="20">
          <cell r="E20" t="str">
            <v>Meta Petroleum</v>
          </cell>
          <cell r="S20" t="str">
            <v>Hernandez Enrique</v>
          </cell>
        </row>
        <row r="21">
          <cell r="E21" t="str">
            <v>OCCIDENTAL</v>
          </cell>
          <cell r="S21" t="str">
            <v>Kamuez Lautaro</v>
          </cell>
        </row>
        <row r="22">
          <cell r="E22" t="str">
            <v>OXY ANDINA</v>
          </cell>
          <cell r="S22" t="str">
            <v>Lopez Juan Pablo</v>
          </cell>
        </row>
        <row r="23">
          <cell r="E23" t="str">
            <v>PACIFIC RUBIALES</v>
          </cell>
          <cell r="S23" t="str">
            <v>Martinez Nelson</v>
          </cell>
        </row>
        <row r="24">
          <cell r="E24" t="str">
            <v>PETROBRAS CENTRO (TOLIMA)</v>
          </cell>
          <cell r="S24" t="str">
            <v>Mendoza Joaquin</v>
          </cell>
        </row>
        <row r="25">
          <cell r="E25" t="str">
            <v>PETROBRAS NORTE (CASANARE)</v>
          </cell>
          <cell r="S25" t="str">
            <v>Montenegro David</v>
          </cell>
        </row>
        <row r="26">
          <cell r="E26" t="str">
            <v>PETROBRAS SUR(HUILA)</v>
          </cell>
          <cell r="S26" t="str">
            <v>Naranjo Juan Manuel</v>
          </cell>
        </row>
        <row r="27">
          <cell r="E27" t="str">
            <v>PETROBRAS TIBU</v>
          </cell>
          <cell r="S27" t="str">
            <v>Niño Haydn Miguel</v>
          </cell>
        </row>
        <row r="28">
          <cell r="E28" t="str">
            <v>PETROMINERALES</v>
          </cell>
          <cell r="S28" t="str">
            <v>Ospina Aldo</v>
          </cell>
        </row>
        <row r="29">
          <cell r="E29" t="str">
            <v>PETROSANTANDER</v>
          </cell>
          <cell r="S29" t="str">
            <v>Ospina Andres</v>
          </cell>
        </row>
        <row r="30">
          <cell r="E30" t="str">
            <v>PETRONORTE</v>
          </cell>
          <cell r="S30" t="str">
            <v>Parada Juan carlos</v>
          </cell>
        </row>
        <row r="31">
          <cell r="E31" t="str">
            <v>SOGOMI</v>
          </cell>
          <cell r="S31" t="str">
            <v>Perdomo Ramon</v>
          </cell>
        </row>
        <row r="32">
          <cell r="E32" t="str">
            <v>UTIJP</v>
          </cell>
          <cell r="S32" t="str">
            <v>Perez Ivan</v>
          </cell>
        </row>
        <row r="33">
          <cell r="S33" t="str">
            <v>Perez Oscar</v>
          </cell>
        </row>
        <row r="34">
          <cell r="S34" t="str">
            <v>Polo Libardo</v>
          </cell>
        </row>
        <row r="35">
          <cell r="S35" t="str">
            <v>Quintero Jhon</v>
          </cell>
        </row>
        <row r="36">
          <cell r="S36" t="str">
            <v>Rico Manuel</v>
          </cell>
        </row>
        <row r="37">
          <cell r="S37" t="str">
            <v>Rocha Nelson</v>
          </cell>
        </row>
        <row r="38">
          <cell r="S38" t="str">
            <v>Rodriguez Ronal</v>
          </cell>
        </row>
        <row r="39">
          <cell r="S39" t="str">
            <v>Rodriguez Miguel Angel</v>
          </cell>
        </row>
        <row r="40">
          <cell r="S40" t="str">
            <v>Salazar Oscar</v>
          </cell>
        </row>
        <row r="41">
          <cell r="S41" t="str">
            <v>Serrano Ricardo</v>
          </cell>
        </row>
        <row r="42">
          <cell r="S42" t="str">
            <v>Valderrama Alejandro</v>
          </cell>
        </row>
        <row r="43">
          <cell r="S43" t="str">
            <v>Vasquez Jorge</v>
          </cell>
        </row>
        <row r="44">
          <cell r="S44" t="str">
            <v>Yubran Yamil</v>
          </cell>
        </row>
        <row r="49">
          <cell r="C49" t="str">
            <v>Bonus Day</v>
          </cell>
        </row>
        <row r="50">
          <cell r="C50" t="str">
            <v>StandBy</v>
          </cell>
        </row>
        <row r="51">
          <cell r="C51" t="str">
            <v>Proficient</v>
          </cell>
        </row>
        <row r="52">
          <cell r="C52" t="str">
            <v>GeoPilot</v>
          </cell>
        </row>
        <row r="53">
          <cell r="C53" t="str">
            <v>Lead</v>
          </cell>
        </row>
        <row r="54">
          <cell r="C54" t="str">
            <v>18_Day</v>
          </cell>
        </row>
        <row r="55">
          <cell r="C55" t="str">
            <v>ROC_More_than_3_Wells_</v>
          </cell>
        </row>
      </sheetData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litica TSS"/>
      <sheetName val="Pagos CMG"/>
      <sheetName val="SAP"/>
      <sheetName val="Listas"/>
      <sheetName val="Instrucciones"/>
      <sheetName val="COP"/>
    </sheetNames>
    <sheetDataSet>
      <sheetData sheetId="0"/>
      <sheetData sheetId="1"/>
      <sheetData sheetId="2">
        <row r="2">
          <cell r="A2">
            <v>114215</v>
          </cell>
        </row>
      </sheetData>
      <sheetData sheetId="3">
        <row r="2">
          <cell r="A2" t="str">
            <v>Barranca</v>
          </cell>
          <cell r="D2" t="str">
            <v>Alange</v>
          </cell>
        </row>
        <row r="3">
          <cell r="D3" t="str">
            <v>C&amp;C Energía</v>
          </cell>
        </row>
        <row r="4">
          <cell r="D4" t="str">
            <v>Canacol</v>
          </cell>
        </row>
        <row r="5">
          <cell r="D5" t="str">
            <v>CEPSA</v>
          </cell>
        </row>
        <row r="6">
          <cell r="D6" t="str">
            <v>Columbus Energy</v>
          </cell>
        </row>
        <row r="7">
          <cell r="D7" t="str">
            <v>Conequipos</v>
          </cell>
        </row>
        <row r="8">
          <cell r="D8" t="str">
            <v>Consorcio Colombia Energy</v>
          </cell>
        </row>
        <row r="9">
          <cell r="D9" t="str">
            <v>Drummond</v>
          </cell>
        </row>
        <row r="10">
          <cell r="D10" t="str">
            <v>Ecopetrol</v>
          </cell>
        </row>
        <row r="11">
          <cell r="D11" t="str">
            <v>El triunfo</v>
          </cell>
        </row>
        <row r="12">
          <cell r="D12" t="str">
            <v>Emerald Energy</v>
          </cell>
        </row>
        <row r="13">
          <cell r="D13" t="str">
            <v>Equion</v>
          </cell>
        </row>
        <row r="14">
          <cell r="D14" t="str">
            <v>Erazo Valencia</v>
          </cell>
        </row>
        <row r="15">
          <cell r="D15" t="e">
            <v>#N/A</v>
          </cell>
        </row>
        <row r="16">
          <cell r="D16" t="e">
            <v>#N/A</v>
          </cell>
        </row>
        <row r="17">
          <cell r="D17" t="str">
            <v>Geoproduction</v>
          </cell>
        </row>
        <row r="18">
          <cell r="D18" t="str">
            <v>Grantierra Energy</v>
          </cell>
        </row>
        <row r="19">
          <cell r="D19" t="str">
            <v>Great North Energy</v>
          </cell>
        </row>
        <row r="20">
          <cell r="D20" t="e">
            <v>#N/A</v>
          </cell>
        </row>
        <row r="21">
          <cell r="D21" t="str">
            <v>Hocol Boyacá</v>
          </cell>
        </row>
        <row r="22">
          <cell r="D22" t="str">
            <v>Hocol Casanare Vichada</v>
          </cell>
        </row>
        <row r="23">
          <cell r="D23" t="str">
            <v>Hocol Huila</v>
          </cell>
        </row>
        <row r="24">
          <cell r="D24" t="str">
            <v>Hocol Meta</v>
          </cell>
        </row>
        <row r="25">
          <cell r="D25" t="str">
            <v>Hocol Piedemonte (casanare)</v>
          </cell>
        </row>
        <row r="26">
          <cell r="D26" t="str">
            <v>Hocol Sucre Magdalena</v>
          </cell>
        </row>
        <row r="27">
          <cell r="D27" t="str">
            <v>Hocol Tolima</v>
          </cell>
        </row>
        <row r="28">
          <cell r="D28" t="str">
            <v>HUPECOL</v>
          </cell>
        </row>
        <row r="29">
          <cell r="D29" t="str">
            <v>Interoil</v>
          </cell>
        </row>
        <row r="30">
          <cell r="D30" t="str">
            <v>ISLEMA</v>
          </cell>
        </row>
        <row r="31">
          <cell r="D31" t="str">
            <v>Kappa Resources</v>
          </cell>
        </row>
        <row r="32">
          <cell r="D32" t="str">
            <v>Lewis</v>
          </cell>
        </row>
        <row r="33">
          <cell r="D33" t="str">
            <v>Lukoil Overseas</v>
          </cell>
        </row>
        <row r="34">
          <cell r="D34" t="str">
            <v>Mansarovar</v>
          </cell>
        </row>
        <row r="35">
          <cell r="D35" t="str">
            <v>Maurel &amp; Prom</v>
          </cell>
        </row>
        <row r="36">
          <cell r="D36" t="str">
            <v>Metapetroleum</v>
          </cell>
        </row>
        <row r="37">
          <cell r="D37" t="str">
            <v>Montecz</v>
          </cell>
        </row>
        <row r="38">
          <cell r="D38" t="str">
            <v>New Granada Energy</v>
          </cell>
        </row>
        <row r="39">
          <cell r="D39" t="str">
            <v>Occidental de Colombia</v>
          </cell>
        </row>
        <row r="40">
          <cell r="D40" t="str">
            <v xml:space="preserve">ONGC VIDESH </v>
          </cell>
        </row>
        <row r="41">
          <cell r="D41" t="str">
            <v>Oxyandina</v>
          </cell>
        </row>
        <row r="42">
          <cell r="D42" t="str">
            <v>P1 Energy Delta Corp</v>
          </cell>
        </row>
        <row r="43">
          <cell r="D43" t="str">
            <v>Pacific Stratus Energy</v>
          </cell>
        </row>
        <row r="44">
          <cell r="D44" t="str">
            <v>Parex Resources Ltda</v>
          </cell>
        </row>
        <row r="45">
          <cell r="D45" t="str">
            <v>Perenco</v>
          </cell>
        </row>
        <row r="46">
          <cell r="D46" t="str">
            <v>Petrobras Centro (Tolima)</v>
          </cell>
        </row>
        <row r="47">
          <cell r="D47" t="str">
            <v>Petrobras Norte (Casanare)</v>
          </cell>
        </row>
        <row r="48">
          <cell r="D48" t="str">
            <v>Petrobras Sur (Huila)</v>
          </cell>
        </row>
        <row r="49">
          <cell r="D49" t="str">
            <v>Petrobras TIBU</v>
          </cell>
        </row>
        <row r="50">
          <cell r="D50" t="e">
            <v>#N/A</v>
          </cell>
        </row>
        <row r="51">
          <cell r="D51" t="str">
            <v>Petroleos del Norte</v>
          </cell>
        </row>
        <row r="52">
          <cell r="D52" t="str">
            <v>Petrominerales Huila</v>
          </cell>
        </row>
        <row r="53">
          <cell r="D53" t="str">
            <v>Petrominerales Putumayo</v>
          </cell>
        </row>
        <row r="54">
          <cell r="D54" t="str">
            <v>Petrotesting</v>
          </cell>
        </row>
        <row r="55">
          <cell r="D55" t="str">
            <v>Precisión</v>
          </cell>
        </row>
        <row r="56">
          <cell r="D56" t="str">
            <v>Ramshorn</v>
          </cell>
        </row>
        <row r="57">
          <cell r="D57" t="str">
            <v>Rancho Hermoso</v>
          </cell>
        </row>
        <row r="58">
          <cell r="D58" t="str">
            <v>Repsol</v>
          </cell>
        </row>
        <row r="59">
          <cell r="D59" t="str">
            <v>SOGOMI Energy</v>
          </cell>
        </row>
        <row r="60">
          <cell r="D60" t="str">
            <v>SOLANA</v>
          </cell>
        </row>
        <row r="61">
          <cell r="D61" t="e">
            <v>#N/A</v>
          </cell>
        </row>
        <row r="62">
          <cell r="D62" t="str">
            <v>Thorneloe</v>
          </cell>
        </row>
        <row r="63">
          <cell r="D63" t="str">
            <v>Turkish Petroleum</v>
          </cell>
        </row>
        <row r="64">
          <cell r="D64" t="str">
            <v>Union Temporal Andina</v>
          </cell>
        </row>
        <row r="65">
          <cell r="D65" t="str">
            <v>Union Temporal IJP</v>
          </cell>
        </row>
        <row r="66">
          <cell r="D66" t="str">
            <v>Union Temporal Midas</v>
          </cell>
        </row>
        <row r="67">
          <cell r="D67" t="str">
            <v>Union Temporal Moriche</v>
          </cell>
        </row>
        <row r="68">
          <cell r="D68" t="str">
            <v>Union Temporal Petrocaribe</v>
          </cell>
        </row>
        <row r="69">
          <cell r="D69" t="str">
            <v>Varosa Energy</v>
          </cell>
        </row>
        <row r="70">
          <cell r="D70" t="str">
            <v>Vetra</v>
          </cell>
        </row>
        <row r="71">
          <cell r="D71" t="str">
            <v>Weatherford</v>
          </cell>
        </row>
        <row r="72">
          <cell r="D72" t="str">
            <v>Well Logging S.A.</v>
          </cell>
        </row>
        <row r="73">
          <cell r="D73" t="str">
            <v>Winchester Oil and Gas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W86"/>
  <sheetViews>
    <sheetView zoomScale="118" zoomScaleNormal="118" workbookViewId="0">
      <selection activeCell="D27" sqref="D27"/>
    </sheetView>
  </sheetViews>
  <sheetFormatPr defaultColWidth="11.42578125" defaultRowHeight="12.75"/>
  <cols>
    <col min="1" max="1" width="21.42578125" style="2" customWidth="1"/>
    <col min="2" max="2" width="28.28515625" style="2" bestFit="1" customWidth="1"/>
    <col min="3" max="3" width="33.28515625" style="2" bestFit="1" customWidth="1"/>
    <col min="4" max="4" width="26" style="2" bestFit="1" customWidth="1"/>
    <col min="5" max="5" width="17.85546875" style="2" bestFit="1" customWidth="1"/>
    <col min="6" max="6" width="9.28515625" style="2" customWidth="1"/>
    <col min="7" max="32" width="11.42578125" style="2" customWidth="1"/>
    <col min="33" max="34" width="12.7109375" style="2" bestFit="1" customWidth="1"/>
    <col min="35" max="36" width="10.140625" style="2" bestFit="1" customWidth="1"/>
    <col min="37" max="39" width="11.42578125" style="2"/>
    <col min="40" max="40" width="12.28515625" style="2" bestFit="1" customWidth="1"/>
    <col min="41" max="41" width="11.42578125" style="2"/>
    <col min="42" max="42" width="15.28515625" style="2" customWidth="1"/>
    <col min="43" max="16384" width="11.42578125" style="2"/>
  </cols>
  <sheetData>
    <row r="1" spans="1:37" ht="25.5" customHeight="1" thickBot="1">
      <c r="A1" s="1" t="s">
        <v>69</v>
      </c>
      <c r="B1" s="1" t="s">
        <v>70</v>
      </c>
      <c r="C1" s="89" t="s">
        <v>5</v>
      </c>
      <c r="D1" s="10" t="s">
        <v>77</v>
      </c>
      <c r="E1" s="10" t="s">
        <v>4</v>
      </c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</row>
    <row r="2" spans="1:37">
      <c r="A2" s="3" t="s">
        <v>62</v>
      </c>
      <c r="B2" s="6" t="s">
        <v>71</v>
      </c>
      <c r="C2" s="14" t="s">
        <v>41</v>
      </c>
      <c r="D2" s="128" t="s">
        <v>139</v>
      </c>
      <c r="E2" s="7" t="s">
        <v>616</v>
      </c>
      <c r="F2" s="86">
        <v>42736</v>
      </c>
      <c r="G2" s="86">
        <v>42737</v>
      </c>
      <c r="H2" s="86">
        <v>42738</v>
      </c>
      <c r="I2" s="86">
        <v>42739</v>
      </c>
      <c r="J2" s="86">
        <v>42740</v>
      </c>
      <c r="K2" s="86">
        <v>42741</v>
      </c>
      <c r="L2" s="86">
        <v>42742</v>
      </c>
      <c r="M2" s="86">
        <v>42743</v>
      </c>
      <c r="N2" s="86">
        <v>42744</v>
      </c>
      <c r="O2" s="86">
        <v>42745</v>
      </c>
      <c r="P2" s="86">
        <v>42746</v>
      </c>
      <c r="Q2" s="86">
        <v>42747</v>
      </c>
      <c r="R2" s="86">
        <v>42748</v>
      </c>
      <c r="S2" s="86">
        <v>42749</v>
      </c>
      <c r="T2" s="86">
        <v>42750</v>
      </c>
      <c r="U2" s="86">
        <v>42751</v>
      </c>
      <c r="V2" s="86">
        <v>42752</v>
      </c>
      <c r="W2" s="86">
        <v>42753</v>
      </c>
      <c r="X2" s="86">
        <v>42754</v>
      </c>
      <c r="Y2" s="86">
        <v>42755</v>
      </c>
      <c r="Z2" s="86">
        <v>42756</v>
      </c>
      <c r="AA2" s="86">
        <v>42757</v>
      </c>
      <c r="AB2" s="86">
        <v>42758</v>
      </c>
      <c r="AC2" s="86">
        <v>42759</v>
      </c>
      <c r="AD2" s="86">
        <v>42760</v>
      </c>
      <c r="AE2" s="86">
        <v>42761</v>
      </c>
      <c r="AF2" s="86">
        <v>42762</v>
      </c>
      <c r="AG2" s="86">
        <v>42763</v>
      </c>
      <c r="AH2" s="86">
        <v>42764</v>
      </c>
      <c r="AI2" s="86">
        <v>42765</v>
      </c>
      <c r="AJ2" s="86">
        <v>42766</v>
      </c>
      <c r="AK2" s="15"/>
    </row>
    <row r="3" spans="1:37">
      <c r="A3" s="3" t="s">
        <v>63</v>
      </c>
      <c r="B3" s="3" t="s">
        <v>72</v>
      </c>
      <c r="C3" s="3" t="s">
        <v>42</v>
      </c>
      <c r="D3" s="84" t="s">
        <v>605</v>
      </c>
      <c r="E3" s="8" t="s">
        <v>617</v>
      </c>
      <c r="F3" s="87">
        <v>42767</v>
      </c>
      <c r="G3" s="87">
        <v>42768</v>
      </c>
      <c r="H3" s="87">
        <v>42769</v>
      </c>
      <c r="I3" s="87">
        <v>42770</v>
      </c>
      <c r="J3" s="87">
        <v>42771</v>
      </c>
      <c r="K3" s="87">
        <v>42772</v>
      </c>
      <c r="L3" s="87">
        <v>42773</v>
      </c>
      <c r="M3" s="87">
        <v>42774</v>
      </c>
      <c r="N3" s="87">
        <v>42775</v>
      </c>
      <c r="O3" s="87">
        <v>42776</v>
      </c>
      <c r="P3" s="87">
        <v>42777</v>
      </c>
      <c r="Q3" s="87">
        <v>42778</v>
      </c>
      <c r="R3" s="87">
        <v>42779</v>
      </c>
      <c r="S3" s="87">
        <v>42780</v>
      </c>
      <c r="T3" s="87">
        <v>42781</v>
      </c>
      <c r="U3" s="87">
        <v>42782</v>
      </c>
      <c r="V3" s="87">
        <v>42783</v>
      </c>
      <c r="W3" s="87">
        <v>42784</v>
      </c>
      <c r="X3" s="87">
        <v>42785</v>
      </c>
      <c r="Y3" s="87">
        <v>42786</v>
      </c>
      <c r="Z3" s="87">
        <v>42787</v>
      </c>
      <c r="AA3" s="87">
        <v>42788</v>
      </c>
      <c r="AB3" s="87">
        <v>42789</v>
      </c>
      <c r="AC3" s="87">
        <v>42790</v>
      </c>
      <c r="AD3" s="87">
        <v>42791</v>
      </c>
      <c r="AE3" s="87">
        <v>42792</v>
      </c>
      <c r="AF3" s="87">
        <v>42793</v>
      </c>
      <c r="AG3" s="87">
        <v>42794</v>
      </c>
      <c r="AH3" s="87"/>
      <c r="AI3" s="129"/>
      <c r="AJ3" s="59"/>
      <c r="AK3" s="15"/>
    </row>
    <row r="4" spans="1:37">
      <c r="A4" s="3" t="s">
        <v>66</v>
      </c>
      <c r="B4" s="3" t="s">
        <v>74</v>
      </c>
      <c r="C4" s="3" t="s">
        <v>43</v>
      </c>
      <c r="D4" s="84" t="s">
        <v>107</v>
      </c>
      <c r="E4" s="8" t="s">
        <v>618</v>
      </c>
      <c r="F4" s="87">
        <v>42795</v>
      </c>
      <c r="G4" s="87">
        <v>42796</v>
      </c>
      <c r="H4" s="87">
        <v>42797</v>
      </c>
      <c r="I4" s="87">
        <v>42798</v>
      </c>
      <c r="J4" s="87">
        <v>42799</v>
      </c>
      <c r="K4" s="87">
        <v>42800</v>
      </c>
      <c r="L4" s="87">
        <v>42801</v>
      </c>
      <c r="M4" s="87">
        <v>42802</v>
      </c>
      <c r="N4" s="87">
        <v>42803</v>
      </c>
      <c r="O4" s="87">
        <v>42804</v>
      </c>
      <c r="P4" s="87">
        <v>42805</v>
      </c>
      <c r="Q4" s="87">
        <v>42806</v>
      </c>
      <c r="R4" s="87">
        <v>42807</v>
      </c>
      <c r="S4" s="87">
        <v>42808</v>
      </c>
      <c r="T4" s="87">
        <v>42809</v>
      </c>
      <c r="U4" s="87">
        <v>42810</v>
      </c>
      <c r="V4" s="87">
        <v>42811</v>
      </c>
      <c r="W4" s="87">
        <v>42812</v>
      </c>
      <c r="X4" s="87">
        <v>42813</v>
      </c>
      <c r="Y4" s="87">
        <v>42814</v>
      </c>
      <c r="Z4" s="87">
        <v>42815</v>
      </c>
      <c r="AA4" s="87">
        <v>42816</v>
      </c>
      <c r="AB4" s="87">
        <v>42817</v>
      </c>
      <c r="AC4" s="87">
        <v>42818</v>
      </c>
      <c r="AD4" s="87">
        <v>42819</v>
      </c>
      <c r="AE4" s="87">
        <v>42820</v>
      </c>
      <c r="AF4" s="87">
        <v>42821</v>
      </c>
      <c r="AG4" s="87">
        <v>42822</v>
      </c>
      <c r="AH4" s="87">
        <v>42823</v>
      </c>
      <c r="AI4" s="87">
        <v>42824</v>
      </c>
      <c r="AJ4" s="87">
        <v>42825</v>
      </c>
      <c r="AK4" s="85"/>
    </row>
    <row r="5" spans="1:37">
      <c r="A5" s="3" t="s">
        <v>65</v>
      </c>
      <c r="B5" s="3" t="s">
        <v>149</v>
      </c>
      <c r="C5" s="3" t="s">
        <v>44</v>
      </c>
      <c r="D5" s="84" t="s">
        <v>151</v>
      </c>
      <c r="E5" s="8" t="s">
        <v>619</v>
      </c>
      <c r="F5" s="87">
        <v>42826</v>
      </c>
      <c r="G5" s="87">
        <v>42827</v>
      </c>
      <c r="H5" s="87">
        <v>42828</v>
      </c>
      <c r="I5" s="87">
        <v>42829</v>
      </c>
      <c r="J5" s="87">
        <v>42830</v>
      </c>
      <c r="K5" s="87">
        <v>42831</v>
      </c>
      <c r="L5" s="87">
        <v>42832</v>
      </c>
      <c r="M5" s="87">
        <v>42833</v>
      </c>
      <c r="N5" s="87">
        <v>42834</v>
      </c>
      <c r="O5" s="87">
        <v>42835</v>
      </c>
      <c r="P5" s="87">
        <v>42836</v>
      </c>
      <c r="Q5" s="87">
        <v>42837</v>
      </c>
      <c r="R5" s="87">
        <v>42838</v>
      </c>
      <c r="S5" s="87">
        <v>42839</v>
      </c>
      <c r="T5" s="87">
        <v>42840</v>
      </c>
      <c r="U5" s="87">
        <v>42841</v>
      </c>
      <c r="V5" s="87">
        <v>42842</v>
      </c>
      <c r="W5" s="87">
        <v>42843</v>
      </c>
      <c r="X5" s="87">
        <v>42844</v>
      </c>
      <c r="Y5" s="87">
        <v>42845</v>
      </c>
      <c r="Z5" s="87">
        <v>42846</v>
      </c>
      <c r="AA5" s="87">
        <v>42847</v>
      </c>
      <c r="AB5" s="87">
        <v>42848</v>
      </c>
      <c r="AC5" s="87">
        <v>42849</v>
      </c>
      <c r="AD5" s="87">
        <v>42850</v>
      </c>
      <c r="AE5" s="87">
        <v>42851</v>
      </c>
      <c r="AF5" s="87">
        <v>42852</v>
      </c>
      <c r="AG5" s="87">
        <v>42853</v>
      </c>
      <c r="AH5" s="87">
        <v>42854</v>
      </c>
      <c r="AI5" s="87">
        <v>42855</v>
      </c>
      <c r="AJ5" s="59"/>
      <c r="AK5" s="15"/>
    </row>
    <row r="6" spans="1:37" ht="15">
      <c r="A6" s="3" t="s">
        <v>67</v>
      </c>
      <c r="B6" s="3" t="s">
        <v>75</v>
      </c>
      <c r="C6" s="3" t="s">
        <v>55</v>
      </c>
      <c r="D6" s="17" t="s">
        <v>165</v>
      </c>
      <c r="E6" s="8" t="s">
        <v>620</v>
      </c>
      <c r="F6" s="87">
        <v>42856</v>
      </c>
      <c r="G6" s="87">
        <v>42857</v>
      </c>
      <c r="H6" s="87">
        <v>42858</v>
      </c>
      <c r="I6" s="87">
        <v>42859</v>
      </c>
      <c r="J6" s="87">
        <v>42860</v>
      </c>
      <c r="K6" s="87">
        <v>42861</v>
      </c>
      <c r="L6" s="87">
        <v>42862</v>
      </c>
      <c r="M6" s="87">
        <v>42863</v>
      </c>
      <c r="N6" s="87">
        <v>42864</v>
      </c>
      <c r="O6" s="87">
        <v>42865</v>
      </c>
      <c r="P6" s="87">
        <v>42866</v>
      </c>
      <c r="Q6" s="87">
        <v>42867</v>
      </c>
      <c r="R6" s="87">
        <v>42868</v>
      </c>
      <c r="S6" s="87">
        <v>42869</v>
      </c>
      <c r="T6" s="87">
        <v>42870</v>
      </c>
      <c r="U6" s="87">
        <v>42871</v>
      </c>
      <c r="V6" s="87">
        <v>42872</v>
      </c>
      <c r="W6" s="87">
        <v>42873</v>
      </c>
      <c r="X6" s="87">
        <v>42874</v>
      </c>
      <c r="Y6" s="87">
        <v>42875</v>
      </c>
      <c r="Z6" s="87">
        <v>42876</v>
      </c>
      <c r="AA6" s="87">
        <v>42877</v>
      </c>
      <c r="AB6" s="87">
        <v>42878</v>
      </c>
      <c r="AC6" s="87">
        <v>42879</v>
      </c>
      <c r="AD6" s="87">
        <v>42880</v>
      </c>
      <c r="AE6" s="87">
        <v>42881</v>
      </c>
      <c r="AF6" s="87">
        <v>42882</v>
      </c>
      <c r="AG6" s="87">
        <v>42883</v>
      </c>
      <c r="AH6" s="87">
        <v>42884</v>
      </c>
      <c r="AI6" s="87">
        <v>42885</v>
      </c>
      <c r="AJ6" s="87">
        <v>42886</v>
      </c>
      <c r="AK6" s="85"/>
    </row>
    <row r="7" spans="1:37" ht="15">
      <c r="A7" s="3" t="s">
        <v>64</v>
      </c>
      <c r="B7" s="3" t="s">
        <v>76</v>
      </c>
      <c r="C7" s="3" t="s">
        <v>45</v>
      </c>
      <c r="D7" s="17" t="s">
        <v>158</v>
      </c>
      <c r="E7" s="8" t="s">
        <v>621</v>
      </c>
      <c r="F7" s="87">
        <v>42887</v>
      </c>
      <c r="G7" s="87">
        <v>42888</v>
      </c>
      <c r="H7" s="87">
        <v>42889</v>
      </c>
      <c r="I7" s="87">
        <v>42890</v>
      </c>
      <c r="J7" s="87">
        <v>42891</v>
      </c>
      <c r="K7" s="87">
        <v>42892</v>
      </c>
      <c r="L7" s="87">
        <v>42893</v>
      </c>
      <c r="M7" s="87">
        <v>42894</v>
      </c>
      <c r="N7" s="87">
        <v>42895</v>
      </c>
      <c r="O7" s="87">
        <v>42896</v>
      </c>
      <c r="P7" s="87">
        <v>42897</v>
      </c>
      <c r="Q7" s="87">
        <v>42898</v>
      </c>
      <c r="R7" s="87">
        <v>42899</v>
      </c>
      <c r="S7" s="87">
        <v>42900</v>
      </c>
      <c r="T7" s="87">
        <v>42901</v>
      </c>
      <c r="U7" s="87">
        <v>42902</v>
      </c>
      <c r="V7" s="87">
        <v>42903</v>
      </c>
      <c r="W7" s="87">
        <v>42904</v>
      </c>
      <c r="X7" s="87">
        <v>42905</v>
      </c>
      <c r="Y7" s="87">
        <v>42906</v>
      </c>
      <c r="Z7" s="87">
        <v>42907</v>
      </c>
      <c r="AA7" s="87">
        <v>42908</v>
      </c>
      <c r="AB7" s="87">
        <v>42909</v>
      </c>
      <c r="AC7" s="87">
        <v>42910</v>
      </c>
      <c r="AD7" s="87">
        <v>42911</v>
      </c>
      <c r="AE7" s="87">
        <v>42912</v>
      </c>
      <c r="AF7" s="87">
        <v>42913</v>
      </c>
      <c r="AG7" s="87">
        <v>42914</v>
      </c>
      <c r="AH7" s="87">
        <v>42915</v>
      </c>
      <c r="AI7" s="87">
        <v>42916</v>
      </c>
      <c r="AJ7" s="59"/>
      <c r="AK7" s="15"/>
    </row>
    <row r="8" spans="1:37" ht="13.5" thickBot="1">
      <c r="A8" s="4" t="s">
        <v>68</v>
      </c>
      <c r="B8" s="3" t="s">
        <v>73</v>
      </c>
      <c r="C8" s="3" t="s">
        <v>46</v>
      </c>
      <c r="D8" s="84" t="s">
        <v>121</v>
      </c>
      <c r="E8" s="8" t="s">
        <v>622</v>
      </c>
      <c r="F8" s="87">
        <v>42917</v>
      </c>
      <c r="G8" s="87">
        <v>42918</v>
      </c>
      <c r="H8" s="87">
        <v>42919</v>
      </c>
      <c r="I8" s="87">
        <v>42920</v>
      </c>
      <c r="J8" s="87">
        <v>42921</v>
      </c>
      <c r="K8" s="87">
        <v>42922</v>
      </c>
      <c r="L8" s="87">
        <v>42923</v>
      </c>
      <c r="M8" s="87">
        <v>42924</v>
      </c>
      <c r="N8" s="87">
        <v>42925</v>
      </c>
      <c r="O8" s="87">
        <v>42926</v>
      </c>
      <c r="P8" s="87">
        <v>42927</v>
      </c>
      <c r="Q8" s="87">
        <v>42928</v>
      </c>
      <c r="R8" s="87">
        <v>42929</v>
      </c>
      <c r="S8" s="87">
        <v>42930</v>
      </c>
      <c r="T8" s="87">
        <v>42931</v>
      </c>
      <c r="U8" s="87">
        <v>42932</v>
      </c>
      <c r="V8" s="87">
        <v>42933</v>
      </c>
      <c r="W8" s="87">
        <v>42934</v>
      </c>
      <c r="X8" s="87">
        <v>42935</v>
      </c>
      <c r="Y8" s="87">
        <v>42936</v>
      </c>
      <c r="Z8" s="87">
        <v>42937</v>
      </c>
      <c r="AA8" s="87">
        <v>42938</v>
      </c>
      <c r="AB8" s="87">
        <v>42939</v>
      </c>
      <c r="AC8" s="87">
        <v>42940</v>
      </c>
      <c r="AD8" s="87">
        <v>42941</v>
      </c>
      <c r="AE8" s="87">
        <v>42942</v>
      </c>
      <c r="AF8" s="87">
        <v>42943</v>
      </c>
      <c r="AG8" s="87">
        <v>42944</v>
      </c>
      <c r="AH8" s="87">
        <v>42945</v>
      </c>
      <c r="AI8" s="87">
        <v>42946</v>
      </c>
      <c r="AJ8" s="87">
        <v>42947</v>
      </c>
      <c r="AK8" s="15"/>
    </row>
    <row r="9" spans="1:37">
      <c r="B9" s="3" t="s">
        <v>212</v>
      </c>
      <c r="C9" s="3" t="s">
        <v>47</v>
      </c>
      <c r="D9" s="84" t="s">
        <v>120</v>
      </c>
      <c r="E9" s="8" t="s">
        <v>623</v>
      </c>
      <c r="F9" s="87">
        <v>42948</v>
      </c>
      <c r="G9" s="87">
        <v>42949</v>
      </c>
      <c r="H9" s="87">
        <v>42950</v>
      </c>
      <c r="I9" s="87">
        <v>42951</v>
      </c>
      <c r="J9" s="87">
        <v>42952</v>
      </c>
      <c r="K9" s="87">
        <v>42953</v>
      </c>
      <c r="L9" s="87">
        <v>42954</v>
      </c>
      <c r="M9" s="87">
        <v>42955</v>
      </c>
      <c r="N9" s="87">
        <v>42956</v>
      </c>
      <c r="O9" s="87">
        <v>42957</v>
      </c>
      <c r="P9" s="87">
        <v>42958</v>
      </c>
      <c r="Q9" s="87">
        <v>42959</v>
      </c>
      <c r="R9" s="87">
        <v>42960</v>
      </c>
      <c r="S9" s="87">
        <v>42961</v>
      </c>
      <c r="T9" s="87">
        <v>42962</v>
      </c>
      <c r="U9" s="87">
        <v>42963</v>
      </c>
      <c r="V9" s="87">
        <v>42964</v>
      </c>
      <c r="W9" s="87">
        <v>42965</v>
      </c>
      <c r="X9" s="87">
        <v>42966</v>
      </c>
      <c r="Y9" s="87">
        <v>42967</v>
      </c>
      <c r="Z9" s="87">
        <v>42968</v>
      </c>
      <c r="AA9" s="87">
        <v>42969</v>
      </c>
      <c r="AB9" s="87">
        <v>42970</v>
      </c>
      <c r="AC9" s="87">
        <v>42971</v>
      </c>
      <c r="AD9" s="87">
        <v>42972</v>
      </c>
      <c r="AE9" s="87">
        <v>42973</v>
      </c>
      <c r="AF9" s="87">
        <v>42974</v>
      </c>
      <c r="AG9" s="87">
        <v>42975</v>
      </c>
      <c r="AH9" s="87">
        <v>42976</v>
      </c>
      <c r="AI9" s="87">
        <v>42977</v>
      </c>
      <c r="AJ9" s="87">
        <v>42978</v>
      </c>
      <c r="AK9" s="85"/>
    </row>
    <row r="10" spans="1:37">
      <c r="B10" s="3" t="s">
        <v>211</v>
      </c>
      <c r="C10" s="3" t="s">
        <v>48</v>
      </c>
      <c r="D10" s="84" t="s">
        <v>129</v>
      </c>
      <c r="E10" s="8" t="s">
        <v>624</v>
      </c>
      <c r="F10" s="87">
        <v>42979</v>
      </c>
      <c r="G10" s="87">
        <v>42980</v>
      </c>
      <c r="H10" s="87">
        <v>42981</v>
      </c>
      <c r="I10" s="87">
        <v>42982</v>
      </c>
      <c r="J10" s="87">
        <v>42983</v>
      </c>
      <c r="K10" s="87">
        <v>42984</v>
      </c>
      <c r="L10" s="87">
        <v>42985</v>
      </c>
      <c r="M10" s="87">
        <v>42986</v>
      </c>
      <c r="N10" s="87">
        <v>42987</v>
      </c>
      <c r="O10" s="87">
        <v>42988</v>
      </c>
      <c r="P10" s="87">
        <v>42989</v>
      </c>
      <c r="Q10" s="87">
        <v>42990</v>
      </c>
      <c r="R10" s="87">
        <v>42991</v>
      </c>
      <c r="S10" s="87">
        <v>42992</v>
      </c>
      <c r="T10" s="87">
        <v>42993</v>
      </c>
      <c r="U10" s="87">
        <v>42994</v>
      </c>
      <c r="V10" s="87">
        <v>42995</v>
      </c>
      <c r="W10" s="87">
        <v>42996</v>
      </c>
      <c r="X10" s="87">
        <v>42997</v>
      </c>
      <c r="Y10" s="87">
        <v>42998</v>
      </c>
      <c r="Z10" s="87">
        <v>42999</v>
      </c>
      <c r="AA10" s="87">
        <v>43000</v>
      </c>
      <c r="AB10" s="87">
        <v>43001</v>
      </c>
      <c r="AC10" s="87">
        <v>43002</v>
      </c>
      <c r="AD10" s="87">
        <v>43003</v>
      </c>
      <c r="AE10" s="87">
        <v>43004</v>
      </c>
      <c r="AF10" s="87">
        <v>43005</v>
      </c>
      <c r="AG10" s="87">
        <v>43006</v>
      </c>
      <c r="AH10" s="87">
        <v>43007</v>
      </c>
      <c r="AI10" s="87">
        <v>43008</v>
      </c>
      <c r="AJ10" s="59"/>
      <c r="AK10" s="15"/>
    </row>
    <row r="11" spans="1:37" ht="13.5" thickBot="1">
      <c r="B11" s="4" t="s">
        <v>353</v>
      </c>
      <c r="C11" s="3" t="s">
        <v>49</v>
      </c>
      <c r="D11" s="84" t="s">
        <v>110</v>
      </c>
      <c r="E11" s="8" t="s">
        <v>625</v>
      </c>
      <c r="F11" s="87">
        <v>43009</v>
      </c>
      <c r="G11" s="87">
        <v>43010</v>
      </c>
      <c r="H11" s="87">
        <v>43011</v>
      </c>
      <c r="I11" s="87">
        <v>43012</v>
      </c>
      <c r="J11" s="87">
        <v>43013</v>
      </c>
      <c r="K11" s="87">
        <v>43014</v>
      </c>
      <c r="L11" s="87">
        <v>43015</v>
      </c>
      <c r="M11" s="87">
        <v>43016</v>
      </c>
      <c r="N11" s="87">
        <v>43017</v>
      </c>
      <c r="O11" s="87">
        <v>43018</v>
      </c>
      <c r="P11" s="87">
        <v>43019</v>
      </c>
      <c r="Q11" s="87">
        <v>43020</v>
      </c>
      <c r="R11" s="87">
        <v>43021</v>
      </c>
      <c r="S11" s="87">
        <v>43022</v>
      </c>
      <c r="T11" s="87">
        <v>43023</v>
      </c>
      <c r="U11" s="87">
        <v>43024</v>
      </c>
      <c r="V11" s="87">
        <v>43025</v>
      </c>
      <c r="W11" s="87">
        <v>43026</v>
      </c>
      <c r="X11" s="87">
        <v>43027</v>
      </c>
      <c r="Y11" s="87">
        <v>43028</v>
      </c>
      <c r="Z11" s="87">
        <v>43029</v>
      </c>
      <c r="AA11" s="87">
        <v>43030</v>
      </c>
      <c r="AB11" s="87">
        <v>43031</v>
      </c>
      <c r="AC11" s="87">
        <v>43032</v>
      </c>
      <c r="AD11" s="87">
        <v>43033</v>
      </c>
      <c r="AE11" s="87">
        <v>43034</v>
      </c>
      <c r="AF11" s="87">
        <v>43035</v>
      </c>
      <c r="AG11" s="87">
        <v>43036</v>
      </c>
      <c r="AH11" s="87">
        <v>43037</v>
      </c>
      <c r="AI11" s="87">
        <v>43038</v>
      </c>
      <c r="AJ11" s="87">
        <v>43039</v>
      </c>
      <c r="AK11" s="85"/>
    </row>
    <row r="12" spans="1:37">
      <c r="C12" s="3" t="s">
        <v>50</v>
      </c>
      <c r="D12" s="84" t="s">
        <v>78</v>
      </c>
      <c r="E12" s="8" t="s">
        <v>626</v>
      </c>
      <c r="F12" s="87">
        <v>43040</v>
      </c>
      <c r="G12" s="87">
        <v>43041</v>
      </c>
      <c r="H12" s="87">
        <v>43042</v>
      </c>
      <c r="I12" s="87">
        <v>43043</v>
      </c>
      <c r="J12" s="87">
        <v>43044</v>
      </c>
      <c r="K12" s="87">
        <v>43045</v>
      </c>
      <c r="L12" s="87">
        <v>43046</v>
      </c>
      <c r="M12" s="87">
        <v>43047</v>
      </c>
      <c r="N12" s="87">
        <v>43048</v>
      </c>
      <c r="O12" s="87">
        <v>43049</v>
      </c>
      <c r="P12" s="87">
        <v>43050</v>
      </c>
      <c r="Q12" s="87">
        <v>43051</v>
      </c>
      <c r="R12" s="87">
        <v>43052</v>
      </c>
      <c r="S12" s="87">
        <v>43053</v>
      </c>
      <c r="T12" s="87">
        <v>43054</v>
      </c>
      <c r="U12" s="87">
        <v>43055</v>
      </c>
      <c r="V12" s="87">
        <v>43056</v>
      </c>
      <c r="W12" s="87">
        <v>43057</v>
      </c>
      <c r="X12" s="87">
        <v>43058</v>
      </c>
      <c r="Y12" s="87">
        <v>43059</v>
      </c>
      <c r="Z12" s="87">
        <v>43060</v>
      </c>
      <c r="AA12" s="87">
        <v>43061</v>
      </c>
      <c r="AB12" s="87">
        <v>43062</v>
      </c>
      <c r="AC12" s="87">
        <v>43063</v>
      </c>
      <c r="AD12" s="87">
        <v>43064</v>
      </c>
      <c r="AE12" s="87">
        <v>43065</v>
      </c>
      <c r="AF12" s="87">
        <v>43066</v>
      </c>
      <c r="AG12" s="87">
        <v>43067</v>
      </c>
      <c r="AH12" s="87">
        <v>43068</v>
      </c>
      <c r="AI12" s="87">
        <v>43069</v>
      </c>
      <c r="AJ12" s="59"/>
      <c r="AK12" s="15"/>
    </row>
    <row r="13" spans="1:37" ht="13.5" thickBot="1">
      <c r="C13" s="3" t="s">
        <v>51</v>
      </c>
      <c r="D13" s="84" t="s">
        <v>106</v>
      </c>
      <c r="E13" s="9" t="s">
        <v>627</v>
      </c>
      <c r="F13" s="88">
        <v>43070</v>
      </c>
      <c r="G13" s="88">
        <v>43071</v>
      </c>
      <c r="H13" s="88">
        <v>43072</v>
      </c>
      <c r="I13" s="88">
        <v>43073</v>
      </c>
      <c r="J13" s="88">
        <v>43074</v>
      </c>
      <c r="K13" s="88">
        <v>43075</v>
      </c>
      <c r="L13" s="88">
        <v>43076</v>
      </c>
      <c r="M13" s="88">
        <v>43077</v>
      </c>
      <c r="N13" s="88">
        <v>43078</v>
      </c>
      <c r="O13" s="88">
        <v>43079</v>
      </c>
      <c r="P13" s="88">
        <v>43080</v>
      </c>
      <c r="Q13" s="88">
        <v>43081</v>
      </c>
      <c r="R13" s="88">
        <v>43082</v>
      </c>
      <c r="S13" s="88">
        <v>43083</v>
      </c>
      <c r="T13" s="88">
        <v>43084</v>
      </c>
      <c r="U13" s="88">
        <v>43085</v>
      </c>
      <c r="V13" s="88">
        <v>43086</v>
      </c>
      <c r="W13" s="88">
        <v>43087</v>
      </c>
      <c r="X13" s="88">
        <v>43088</v>
      </c>
      <c r="Y13" s="88">
        <v>43089</v>
      </c>
      <c r="Z13" s="88">
        <v>43090</v>
      </c>
      <c r="AA13" s="88">
        <v>43091</v>
      </c>
      <c r="AB13" s="88">
        <v>43092</v>
      </c>
      <c r="AC13" s="88">
        <v>43093</v>
      </c>
      <c r="AD13" s="88">
        <v>43094</v>
      </c>
      <c r="AE13" s="88">
        <v>43095</v>
      </c>
      <c r="AF13" s="88">
        <v>43096</v>
      </c>
      <c r="AG13" s="88">
        <v>43097</v>
      </c>
      <c r="AH13" s="88">
        <v>43098</v>
      </c>
      <c r="AI13" s="88">
        <v>43099</v>
      </c>
      <c r="AJ13" s="88">
        <v>43100</v>
      </c>
      <c r="AK13" s="15"/>
    </row>
    <row r="14" spans="1:37">
      <c r="C14" s="3" t="s">
        <v>52</v>
      </c>
      <c r="D14" s="84" t="s">
        <v>113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</row>
    <row r="15" spans="1:37" s="18" customFormat="1" ht="15">
      <c r="A15" s="2"/>
      <c r="B15" s="2"/>
      <c r="C15" s="3" t="s">
        <v>53</v>
      </c>
      <c r="D15" s="17" t="s">
        <v>166</v>
      </c>
    </row>
    <row r="16" spans="1:37" ht="13.5" thickBot="1">
      <c r="C16" s="4" t="s">
        <v>54</v>
      </c>
      <c r="D16" s="84" t="s">
        <v>136</v>
      </c>
    </row>
    <row r="17" spans="4:75">
      <c r="D17" s="84" t="s">
        <v>172</v>
      </c>
      <c r="E17" s="18"/>
    </row>
    <row r="18" spans="4:75" ht="15">
      <c r="D18" s="17" t="s">
        <v>163</v>
      </c>
      <c r="E18" s="18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</row>
    <row r="19" spans="4:75" ht="15">
      <c r="D19" s="17" t="s">
        <v>506</v>
      </c>
      <c r="E19" s="18"/>
      <c r="F19" s="5"/>
      <c r="G19" s="5"/>
    </row>
    <row r="20" spans="4:75" ht="15.75" thickBot="1">
      <c r="D20" s="17" t="s">
        <v>610</v>
      </c>
      <c r="E20" s="18"/>
      <c r="F20" s="5"/>
    </row>
    <row r="21" spans="4:75">
      <c r="D21" s="84" t="s">
        <v>395</v>
      </c>
      <c r="F21" s="130" t="s">
        <v>6</v>
      </c>
      <c r="G21" s="131"/>
      <c r="H21" s="19"/>
      <c r="I21" s="20">
        <v>1</v>
      </c>
      <c r="J21" s="20">
        <v>2</v>
      </c>
      <c r="K21" s="20">
        <v>3</v>
      </c>
      <c r="L21" s="20">
        <v>4</v>
      </c>
      <c r="M21" s="20">
        <v>5</v>
      </c>
      <c r="N21" s="20">
        <v>6</v>
      </c>
      <c r="O21" s="20">
        <v>7</v>
      </c>
      <c r="P21" s="20">
        <v>8</v>
      </c>
      <c r="Q21" s="20">
        <v>9</v>
      </c>
      <c r="R21" s="20">
        <v>10</v>
      </c>
      <c r="S21" s="20">
        <v>11</v>
      </c>
      <c r="T21" s="20">
        <v>12</v>
      </c>
      <c r="U21" s="20">
        <v>13</v>
      </c>
      <c r="V21" s="20">
        <v>14</v>
      </c>
      <c r="W21" s="20">
        <v>15</v>
      </c>
      <c r="X21" s="20">
        <v>16</v>
      </c>
      <c r="Y21" s="20">
        <v>17</v>
      </c>
      <c r="Z21" s="20">
        <v>18</v>
      </c>
      <c r="AA21" s="20">
        <v>19</v>
      </c>
      <c r="AB21" s="20">
        <v>20</v>
      </c>
      <c r="AC21" s="20">
        <v>21</v>
      </c>
      <c r="AD21" s="20">
        <v>22</v>
      </c>
      <c r="AE21" s="20">
        <v>23</v>
      </c>
      <c r="AF21" s="20">
        <v>24</v>
      </c>
      <c r="AG21" s="20">
        <v>25</v>
      </c>
      <c r="AH21" s="20">
        <v>26</v>
      </c>
      <c r="AI21" s="20">
        <v>27</v>
      </c>
      <c r="AJ21" s="20">
        <v>28</v>
      </c>
      <c r="AK21" s="20">
        <v>29</v>
      </c>
      <c r="AL21" s="20">
        <v>30</v>
      </c>
      <c r="AM21" s="21">
        <v>31</v>
      </c>
      <c r="AQ21" s="19"/>
      <c r="AR21" s="20">
        <v>1</v>
      </c>
      <c r="AS21" s="20">
        <v>2</v>
      </c>
      <c r="AT21" s="20">
        <v>3</v>
      </c>
      <c r="AU21" s="20">
        <v>4</v>
      </c>
      <c r="AV21" s="20">
        <v>5</v>
      </c>
      <c r="AW21" s="20">
        <v>6</v>
      </c>
      <c r="AX21" s="20">
        <v>7</v>
      </c>
      <c r="AY21" s="20">
        <v>8</v>
      </c>
      <c r="AZ21" s="20">
        <v>9</v>
      </c>
      <c r="BA21" s="20">
        <v>10</v>
      </c>
      <c r="BB21" s="20">
        <v>11</v>
      </c>
      <c r="BC21" s="20">
        <v>12</v>
      </c>
      <c r="BD21" s="20">
        <v>13</v>
      </c>
      <c r="BE21" s="20">
        <v>14</v>
      </c>
      <c r="BF21" s="20">
        <v>15</v>
      </c>
      <c r="BG21" s="20">
        <v>16</v>
      </c>
      <c r="BH21" s="20">
        <v>17</v>
      </c>
      <c r="BI21" s="20">
        <v>18</v>
      </c>
      <c r="BJ21" s="20">
        <v>19</v>
      </c>
      <c r="BK21" s="20">
        <v>20</v>
      </c>
      <c r="BL21" s="20">
        <v>21</v>
      </c>
      <c r="BM21" s="20">
        <v>22</v>
      </c>
      <c r="BN21" s="20">
        <v>23</v>
      </c>
      <c r="BO21" s="20">
        <v>24</v>
      </c>
      <c r="BP21" s="20">
        <v>25</v>
      </c>
      <c r="BQ21" s="20">
        <v>26</v>
      </c>
      <c r="BR21" s="20">
        <v>27</v>
      </c>
      <c r="BS21" s="20">
        <v>28</v>
      </c>
      <c r="BT21" s="20">
        <v>29</v>
      </c>
      <c r="BU21" s="20">
        <v>30</v>
      </c>
      <c r="BV21" s="21">
        <v>31</v>
      </c>
    </row>
    <row r="22" spans="4:75" ht="13.5" thickBot="1">
      <c r="D22" s="84" t="s">
        <v>394</v>
      </c>
      <c r="F22" s="22" t="s">
        <v>204</v>
      </c>
      <c r="G22" s="22" t="s">
        <v>205</v>
      </c>
      <c r="H22" s="132" t="str">
        <f>LEFT(COP!C5,3)</f>
        <v>Jun</v>
      </c>
      <c r="I22" s="44" t="str">
        <f>I21&amp;"-"&amp;$H$22</f>
        <v>1-Jun</v>
      </c>
      <c r="J22" s="44" t="str">
        <f t="shared" ref="J22:AK22" si="0">J21&amp;"-"&amp;$H$22</f>
        <v>2-Jun</v>
      </c>
      <c r="K22" s="44" t="str">
        <f t="shared" si="0"/>
        <v>3-Jun</v>
      </c>
      <c r="L22" s="44" t="str">
        <f t="shared" si="0"/>
        <v>4-Jun</v>
      </c>
      <c r="M22" s="44" t="str">
        <f t="shared" si="0"/>
        <v>5-Jun</v>
      </c>
      <c r="N22" s="44" t="str">
        <f t="shared" si="0"/>
        <v>6-Jun</v>
      </c>
      <c r="O22" s="44" t="str">
        <f t="shared" si="0"/>
        <v>7-Jun</v>
      </c>
      <c r="P22" s="44" t="str">
        <f t="shared" si="0"/>
        <v>8-Jun</v>
      </c>
      <c r="Q22" s="44" t="str">
        <f t="shared" si="0"/>
        <v>9-Jun</v>
      </c>
      <c r="R22" s="44" t="str">
        <f t="shared" si="0"/>
        <v>10-Jun</v>
      </c>
      <c r="S22" s="44" t="str">
        <f t="shared" si="0"/>
        <v>11-Jun</v>
      </c>
      <c r="T22" s="44" t="str">
        <f t="shared" si="0"/>
        <v>12-Jun</v>
      </c>
      <c r="U22" s="44" t="str">
        <f t="shared" si="0"/>
        <v>13-Jun</v>
      </c>
      <c r="V22" s="44" t="str">
        <f t="shared" si="0"/>
        <v>14-Jun</v>
      </c>
      <c r="W22" s="44" t="str">
        <f t="shared" si="0"/>
        <v>15-Jun</v>
      </c>
      <c r="X22" s="44" t="str">
        <f t="shared" si="0"/>
        <v>16-Jun</v>
      </c>
      <c r="Y22" s="44" t="str">
        <f t="shared" si="0"/>
        <v>17-Jun</v>
      </c>
      <c r="Z22" s="44" t="str">
        <f t="shared" si="0"/>
        <v>18-Jun</v>
      </c>
      <c r="AA22" s="44" t="str">
        <f t="shared" si="0"/>
        <v>19-Jun</v>
      </c>
      <c r="AB22" s="44" t="str">
        <f t="shared" si="0"/>
        <v>20-Jun</v>
      </c>
      <c r="AC22" s="44" t="str">
        <f t="shared" si="0"/>
        <v>21-Jun</v>
      </c>
      <c r="AD22" s="44" t="str">
        <f t="shared" si="0"/>
        <v>22-Jun</v>
      </c>
      <c r="AE22" s="44" t="str">
        <f t="shared" si="0"/>
        <v>23-Jun</v>
      </c>
      <c r="AF22" s="44" t="str">
        <f t="shared" si="0"/>
        <v>24-Jun</v>
      </c>
      <c r="AG22" s="44" t="str">
        <f t="shared" si="0"/>
        <v>25-Jun</v>
      </c>
      <c r="AH22" s="44" t="str">
        <f t="shared" si="0"/>
        <v>26-Jun</v>
      </c>
      <c r="AI22" s="44" t="str">
        <f t="shared" si="0"/>
        <v>27-Jun</v>
      </c>
      <c r="AJ22" s="44" t="str">
        <f t="shared" si="0"/>
        <v>28-Jun</v>
      </c>
      <c r="AK22" s="44" t="str">
        <f t="shared" si="0"/>
        <v>29-Jun</v>
      </c>
      <c r="AL22" s="26" t="str">
        <f>IF($H$22="Feb","",AL21&amp;"-"&amp;$H$22)</f>
        <v>30-Jun</v>
      </c>
      <c r="AM22" s="26" t="str">
        <f>IF($H$22="Feb","",AM21&amp;"-"&amp;$H$22)</f>
        <v>31-Jun</v>
      </c>
      <c r="AQ22" s="132" t="str">
        <f>LEFT(COP!AL5,3)</f>
        <v/>
      </c>
      <c r="AR22" s="26" t="str">
        <f>AR21&amp;"-"&amp;$H$22</f>
        <v>1-Jun</v>
      </c>
      <c r="AS22" s="26" t="str">
        <f t="shared" ref="AS22:BT22" si="1">AS21&amp;"-"&amp;$H$22</f>
        <v>2-Jun</v>
      </c>
      <c r="AT22" s="26" t="str">
        <f t="shared" si="1"/>
        <v>3-Jun</v>
      </c>
      <c r="AU22" s="26" t="str">
        <f t="shared" si="1"/>
        <v>4-Jun</v>
      </c>
      <c r="AV22" s="26" t="str">
        <f t="shared" si="1"/>
        <v>5-Jun</v>
      </c>
      <c r="AW22" s="26" t="str">
        <f t="shared" si="1"/>
        <v>6-Jun</v>
      </c>
      <c r="AX22" s="26" t="str">
        <f t="shared" si="1"/>
        <v>7-Jun</v>
      </c>
      <c r="AY22" s="26" t="str">
        <f t="shared" si="1"/>
        <v>8-Jun</v>
      </c>
      <c r="AZ22" s="26" t="str">
        <f t="shared" si="1"/>
        <v>9-Jun</v>
      </c>
      <c r="BA22" s="26" t="str">
        <f t="shared" si="1"/>
        <v>10-Jun</v>
      </c>
      <c r="BB22" s="26" t="str">
        <f t="shared" si="1"/>
        <v>11-Jun</v>
      </c>
      <c r="BC22" s="26" t="str">
        <f t="shared" si="1"/>
        <v>12-Jun</v>
      </c>
      <c r="BD22" s="26" t="str">
        <f t="shared" si="1"/>
        <v>13-Jun</v>
      </c>
      <c r="BE22" s="26" t="str">
        <f t="shared" si="1"/>
        <v>14-Jun</v>
      </c>
      <c r="BF22" s="26" t="str">
        <f t="shared" si="1"/>
        <v>15-Jun</v>
      </c>
      <c r="BG22" s="26" t="str">
        <f t="shared" si="1"/>
        <v>16-Jun</v>
      </c>
      <c r="BH22" s="26" t="str">
        <f t="shared" si="1"/>
        <v>17-Jun</v>
      </c>
      <c r="BI22" s="26" t="str">
        <f t="shared" si="1"/>
        <v>18-Jun</v>
      </c>
      <c r="BJ22" s="26" t="str">
        <f t="shared" si="1"/>
        <v>19-Jun</v>
      </c>
      <c r="BK22" s="26" t="str">
        <f t="shared" si="1"/>
        <v>20-Jun</v>
      </c>
      <c r="BL22" s="26" t="str">
        <f t="shared" si="1"/>
        <v>21-Jun</v>
      </c>
      <c r="BM22" s="26" t="str">
        <f t="shared" si="1"/>
        <v>22-Jun</v>
      </c>
      <c r="BN22" s="26" t="str">
        <f t="shared" si="1"/>
        <v>23-Jun</v>
      </c>
      <c r="BO22" s="26" t="str">
        <f t="shared" si="1"/>
        <v>24-Jun</v>
      </c>
      <c r="BP22" s="26" t="str">
        <f t="shared" si="1"/>
        <v>25-Jun</v>
      </c>
      <c r="BQ22" s="26" t="str">
        <f t="shared" si="1"/>
        <v>26-Jun</v>
      </c>
      <c r="BR22" s="26" t="str">
        <f t="shared" si="1"/>
        <v>27-Jun</v>
      </c>
      <c r="BS22" s="26" t="str">
        <f t="shared" si="1"/>
        <v>28-Jun</v>
      </c>
      <c r="BT22" s="26" t="str">
        <f t="shared" si="1"/>
        <v>29-Jun</v>
      </c>
      <c r="BU22" s="26" t="str">
        <f>IF($H$22="Feb","",BU21&amp;"-"&amp;$H$22)</f>
        <v>30-Jun</v>
      </c>
      <c r="BV22" s="26" t="str">
        <f>IF($H$22="Feb","",BV21&amp;"-"&amp;$H$22)</f>
        <v>31-Jun</v>
      </c>
    </row>
    <row r="23" spans="4:75" ht="13.5" thickBot="1">
      <c r="D23" s="84" t="s">
        <v>396</v>
      </c>
      <c r="E23" s="133" t="s">
        <v>7</v>
      </c>
      <c r="F23" s="23" t="str">
        <f>IF(DAY(COP!G11)=0,"",DAY(COP!G11))</f>
        <v/>
      </c>
      <c r="G23" s="24" t="e">
        <f>IF(DAY(COP!H11)=0,"",DAY(COP!H11))</f>
        <v>#VALUE!</v>
      </c>
      <c r="H23" s="29" t="s">
        <v>176</v>
      </c>
      <c r="I23" s="28" t="e">
        <f>IF(AND($F23=$I$21,G23&lt;&gt;""),$AN23,"")</f>
        <v>#VALUE!</v>
      </c>
      <c r="J23" s="27" t="e">
        <f t="shared" ref="J23:AM31" si="2">IF(AND(I23&lt;&gt;"",$G23&gt;=J$21),$AN23,IF($F23=J$21,$AN23,""))</f>
        <v>#VALUE!</v>
      </c>
      <c r="K23" s="27" t="e">
        <f t="shared" si="2"/>
        <v>#VALUE!</v>
      </c>
      <c r="L23" s="27" t="e">
        <f t="shared" si="2"/>
        <v>#VALUE!</v>
      </c>
      <c r="M23" s="27" t="e">
        <f t="shared" si="2"/>
        <v>#VALUE!</v>
      </c>
      <c r="N23" s="27" t="e">
        <f t="shared" si="2"/>
        <v>#VALUE!</v>
      </c>
      <c r="O23" s="27" t="e">
        <f t="shared" si="2"/>
        <v>#VALUE!</v>
      </c>
      <c r="P23" s="27" t="e">
        <f t="shared" si="2"/>
        <v>#VALUE!</v>
      </c>
      <c r="Q23" s="27" t="e">
        <f t="shared" si="2"/>
        <v>#VALUE!</v>
      </c>
      <c r="R23" s="27" t="e">
        <f t="shared" si="2"/>
        <v>#VALUE!</v>
      </c>
      <c r="S23" s="27" t="e">
        <f t="shared" si="2"/>
        <v>#VALUE!</v>
      </c>
      <c r="T23" s="27" t="e">
        <f t="shared" si="2"/>
        <v>#VALUE!</v>
      </c>
      <c r="U23" s="27" t="e">
        <f t="shared" si="2"/>
        <v>#VALUE!</v>
      </c>
      <c r="V23" s="27" t="e">
        <f t="shared" si="2"/>
        <v>#VALUE!</v>
      </c>
      <c r="W23" s="27" t="e">
        <f t="shared" si="2"/>
        <v>#VALUE!</v>
      </c>
      <c r="X23" s="27" t="e">
        <f t="shared" si="2"/>
        <v>#VALUE!</v>
      </c>
      <c r="Y23" s="27" t="e">
        <f t="shared" si="2"/>
        <v>#VALUE!</v>
      </c>
      <c r="Z23" s="27" t="e">
        <f t="shared" si="2"/>
        <v>#VALUE!</v>
      </c>
      <c r="AA23" s="27" t="e">
        <f t="shared" si="2"/>
        <v>#VALUE!</v>
      </c>
      <c r="AB23" s="27" t="e">
        <f t="shared" si="2"/>
        <v>#VALUE!</v>
      </c>
      <c r="AC23" s="27" t="e">
        <f t="shared" si="2"/>
        <v>#VALUE!</v>
      </c>
      <c r="AD23" s="27" t="e">
        <f t="shared" si="2"/>
        <v>#VALUE!</v>
      </c>
      <c r="AE23" s="27" t="e">
        <f t="shared" si="2"/>
        <v>#VALUE!</v>
      </c>
      <c r="AF23" s="27" t="e">
        <f t="shared" si="2"/>
        <v>#VALUE!</v>
      </c>
      <c r="AG23" s="27" t="e">
        <f t="shared" si="2"/>
        <v>#VALUE!</v>
      </c>
      <c r="AH23" s="27" t="e">
        <f t="shared" si="2"/>
        <v>#VALUE!</v>
      </c>
      <c r="AI23" s="27" t="e">
        <f t="shared" si="2"/>
        <v>#VALUE!</v>
      </c>
      <c r="AJ23" s="27" t="e">
        <f t="shared" si="2"/>
        <v>#VALUE!</v>
      </c>
      <c r="AK23" s="27" t="e">
        <f t="shared" si="2"/>
        <v>#VALUE!</v>
      </c>
      <c r="AL23" s="27" t="e">
        <f t="shared" si="2"/>
        <v>#VALUE!</v>
      </c>
      <c r="AM23" s="27" t="e">
        <f t="shared" si="2"/>
        <v>#VALUE!</v>
      </c>
      <c r="AN23" s="2" t="str">
        <f>IF(COP!B11&lt;&gt;"",COP!B11,"")</f>
        <v/>
      </c>
      <c r="AQ23" s="29" t="s">
        <v>176</v>
      </c>
      <c r="AR23" s="27" t="str">
        <f>IF($F23=$I$21,$BW23,"")</f>
        <v/>
      </c>
      <c r="AS23" s="27" t="e">
        <f>IF(AND(AR23&lt;&gt;"",$G23&gt;=AS$21),$BW23,IF($F23=AS$21,$BW23,""))</f>
        <v>#VALUE!</v>
      </c>
      <c r="AT23" s="27" t="e">
        <f t="shared" ref="AT23:BV23" si="3">IF(AND(AS23&lt;&gt;"",$G23&gt;=AT$21),$BW23,IF($F23=AT$21,$BW23,""))</f>
        <v>#VALUE!</v>
      </c>
      <c r="AU23" s="27" t="e">
        <f t="shared" si="3"/>
        <v>#VALUE!</v>
      </c>
      <c r="AV23" s="27" t="e">
        <f t="shared" si="3"/>
        <v>#VALUE!</v>
      </c>
      <c r="AW23" s="27" t="e">
        <f t="shared" si="3"/>
        <v>#VALUE!</v>
      </c>
      <c r="AX23" s="27" t="e">
        <f t="shared" si="3"/>
        <v>#VALUE!</v>
      </c>
      <c r="AY23" s="27" t="e">
        <f t="shared" si="3"/>
        <v>#VALUE!</v>
      </c>
      <c r="AZ23" s="27" t="e">
        <f t="shared" si="3"/>
        <v>#VALUE!</v>
      </c>
      <c r="BA23" s="27" t="e">
        <f t="shared" si="3"/>
        <v>#VALUE!</v>
      </c>
      <c r="BB23" s="27" t="e">
        <f t="shared" si="3"/>
        <v>#VALUE!</v>
      </c>
      <c r="BC23" s="27" t="e">
        <f t="shared" si="3"/>
        <v>#VALUE!</v>
      </c>
      <c r="BD23" s="27" t="e">
        <f t="shared" si="3"/>
        <v>#VALUE!</v>
      </c>
      <c r="BE23" s="27" t="e">
        <f t="shared" si="3"/>
        <v>#VALUE!</v>
      </c>
      <c r="BF23" s="27" t="e">
        <f t="shared" si="3"/>
        <v>#VALUE!</v>
      </c>
      <c r="BG23" s="27" t="e">
        <f t="shared" si="3"/>
        <v>#VALUE!</v>
      </c>
      <c r="BH23" s="27" t="e">
        <f t="shared" si="3"/>
        <v>#VALUE!</v>
      </c>
      <c r="BI23" s="27" t="e">
        <f t="shared" si="3"/>
        <v>#VALUE!</v>
      </c>
      <c r="BJ23" s="27" t="e">
        <f t="shared" si="3"/>
        <v>#VALUE!</v>
      </c>
      <c r="BK23" s="27" t="e">
        <f t="shared" si="3"/>
        <v>#VALUE!</v>
      </c>
      <c r="BL23" s="27" t="e">
        <f t="shared" si="3"/>
        <v>#VALUE!</v>
      </c>
      <c r="BM23" s="27" t="e">
        <f t="shared" si="3"/>
        <v>#VALUE!</v>
      </c>
      <c r="BN23" s="27" t="e">
        <f t="shared" si="3"/>
        <v>#VALUE!</v>
      </c>
      <c r="BO23" s="27" t="e">
        <f t="shared" si="3"/>
        <v>#VALUE!</v>
      </c>
      <c r="BP23" s="27" t="e">
        <f t="shared" si="3"/>
        <v>#VALUE!</v>
      </c>
      <c r="BQ23" s="27" t="e">
        <f t="shared" si="3"/>
        <v>#VALUE!</v>
      </c>
      <c r="BR23" s="27" t="e">
        <f t="shared" si="3"/>
        <v>#VALUE!</v>
      </c>
      <c r="BS23" s="27" t="e">
        <f t="shared" si="3"/>
        <v>#VALUE!</v>
      </c>
      <c r="BT23" s="27" t="e">
        <f t="shared" si="3"/>
        <v>#VALUE!</v>
      </c>
      <c r="BU23" s="27" t="e">
        <f t="shared" si="3"/>
        <v>#VALUE!</v>
      </c>
      <c r="BV23" s="27" t="e">
        <f t="shared" si="3"/>
        <v>#VALUE!</v>
      </c>
      <c r="BW23" s="2" t="str">
        <f>IF(COP!C11&lt;&gt;"",COP!C11,"")</f>
        <v/>
      </c>
    </row>
    <row r="24" spans="4:75" ht="13.5" thickBot="1">
      <c r="D24" s="84" t="s">
        <v>137</v>
      </c>
      <c r="E24" s="2" t="s">
        <v>8</v>
      </c>
      <c r="F24" s="23" t="str">
        <f>IF(DAY(COP!G12)=0,"",DAY(COP!G12))</f>
        <v/>
      </c>
      <c r="G24" s="24" t="e">
        <f>IF(DAY(COP!H12)=0,"",DAY(COP!H12))</f>
        <v>#VALUE!</v>
      </c>
      <c r="H24" s="30" t="s">
        <v>177</v>
      </c>
      <c r="I24" s="28" t="str">
        <f t="shared" ref="I24:I41" si="4">IF($F24=$I$21,$AN24,"")</f>
        <v/>
      </c>
      <c r="J24" s="27" t="e">
        <f t="shared" si="2"/>
        <v>#VALUE!</v>
      </c>
      <c r="K24" s="27" t="e">
        <f t="shared" si="2"/>
        <v>#VALUE!</v>
      </c>
      <c r="L24" s="27" t="e">
        <f t="shared" si="2"/>
        <v>#VALUE!</v>
      </c>
      <c r="M24" s="27" t="e">
        <f t="shared" si="2"/>
        <v>#VALUE!</v>
      </c>
      <c r="N24" s="27" t="e">
        <f t="shared" si="2"/>
        <v>#VALUE!</v>
      </c>
      <c r="O24" s="27" t="e">
        <f t="shared" si="2"/>
        <v>#VALUE!</v>
      </c>
      <c r="P24" s="27" t="e">
        <f t="shared" si="2"/>
        <v>#VALUE!</v>
      </c>
      <c r="Q24" s="27" t="e">
        <f t="shared" si="2"/>
        <v>#VALUE!</v>
      </c>
      <c r="R24" s="27" t="e">
        <f t="shared" si="2"/>
        <v>#VALUE!</v>
      </c>
      <c r="S24" s="27" t="e">
        <f t="shared" si="2"/>
        <v>#VALUE!</v>
      </c>
      <c r="T24" s="27" t="e">
        <f t="shared" si="2"/>
        <v>#VALUE!</v>
      </c>
      <c r="U24" s="27" t="e">
        <f t="shared" si="2"/>
        <v>#VALUE!</v>
      </c>
      <c r="V24" s="27" t="e">
        <f t="shared" si="2"/>
        <v>#VALUE!</v>
      </c>
      <c r="W24" s="27" t="e">
        <f t="shared" si="2"/>
        <v>#VALUE!</v>
      </c>
      <c r="X24" s="27" t="e">
        <f t="shared" si="2"/>
        <v>#VALUE!</v>
      </c>
      <c r="Y24" s="27" t="e">
        <f t="shared" si="2"/>
        <v>#VALUE!</v>
      </c>
      <c r="Z24" s="27" t="e">
        <f t="shared" si="2"/>
        <v>#VALUE!</v>
      </c>
      <c r="AA24" s="27" t="e">
        <f t="shared" si="2"/>
        <v>#VALUE!</v>
      </c>
      <c r="AB24" s="27" t="e">
        <f t="shared" si="2"/>
        <v>#VALUE!</v>
      </c>
      <c r="AC24" s="27" t="e">
        <f t="shared" si="2"/>
        <v>#VALUE!</v>
      </c>
      <c r="AD24" s="27" t="e">
        <f t="shared" si="2"/>
        <v>#VALUE!</v>
      </c>
      <c r="AE24" s="27" t="e">
        <f t="shared" si="2"/>
        <v>#VALUE!</v>
      </c>
      <c r="AF24" s="27" t="e">
        <f t="shared" si="2"/>
        <v>#VALUE!</v>
      </c>
      <c r="AG24" s="27" t="e">
        <f t="shared" si="2"/>
        <v>#VALUE!</v>
      </c>
      <c r="AH24" s="27" t="e">
        <f t="shared" si="2"/>
        <v>#VALUE!</v>
      </c>
      <c r="AI24" s="27" t="e">
        <f t="shared" si="2"/>
        <v>#VALUE!</v>
      </c>
      <c r="AJ24" s="27" t="e">
        <f t="shared" si="2"/>
        <v>#VALUE!</v>
      </c>
      <c r="AK24" s="27" t="e">
        <f t="shared" si="2"/>
        <v>#VALUE!</v>
      </c>
      <c r="AL24" s="27" t="e">
        <f t="shared" si="2"/>
        <v>#VALUE!</v>
      </c>
      <c r="AM24" s="27" t="e">
        <f t="shared" si="2"/>
        <v>#VALUE!</v>
      </c>
      <c r="AN24" s="2" t="str">
        <f>IF(COP!B12&lt;&gt;"",COP!B12,"")</f>
        <v/>
      </c>
      <c r="AQ24" s="30" t="s">
        <v>177</v>
      </c>
      <c r="AR24" s="27" t="str">
        <f>IF($F24=$I$21,$BW24,"")</f>
        <v/>
      </c>
      <c r="AS24" s="27" t="e">
        <f t="shared" ref="AS24:BV32" si="5">IF(AND(AR24&lt;&gt;"",$G24&gt;=AS$21),$BW24,IF($F24=AS$21,$BW24,""))</f>
        <v>#VALUE!</v>
      </c>
      <c r="AT24" s="27" t="e">
        <f t="shared" si="5"/>
        <v>#VALUE!</v>
      </c>
      <c r="AU24" s="27" t="e">
        <f t="shared" si="5"/>
        <v>#VALUE!</v>
      </c>
      <c r="AV24" s="27" t="e">
        <f t="shared" si="5"/>
        <v>#VALUE!</v>
      </c>
      <c r="AW24" s="27" t="e">
        <f t="shared" si="5"/>
        <v>#VALUE!</v>
      </c>
      <c r="AX24" s="27" t="e">
        <f t="shared" si="5"/>
        <v>#VALUE!</v>
      </c>
      <c r="AY24" s="27" t="e">
        <f t="shared" si="5"/>
        <v>#VALUE!</v>
      </c>
      <c r="AZ24" s="27" t="e">
        <f t="shared" si="5"/>
        <v>#VALUE!</v>
      </c>
      <c r="BA24" s="27" t="e">
        <f t="shared" si="5"/>
        <v>#VALUE!</v>
      </c>
      <c r="BB24" s="27" t="e">
        <f t="shared" si="5"/>
        <v>#VALUE!</v>
      </c>
      <c r="BC24" s="27" t="e">
        <f t="shared" si="5"/>
        <v>#VALUE!</v>
      </c>
      <c r="BD24" s="27" t="e">
        <f t="shared" si="5"/>
        <v>#VALUE!</v>
      </c>
      <c r="BE24" s="27" t="e">
        <f t="shared" si="5"/>
        <v>#VALUE!</v>
      </c>
      <c r="BF24" s="27" t="e">
        <f t="shared" si="5"/>
        <v>#VALUE!</v>
      </c>
      <c r="BG24" s="27" t="e">
        <f t="shared" si="5"/>
        <v>#VALUE!</v>
      </c>
      <c r="BH24" s="27" t="e">
        <f t="shared" si="5"/>
        <v>#VALUE!</v>
      </c>
      <c r="BI24" s="27" t="e">
        <f t="shared" si="5"/>
        <v>#VALUE!</v>
      </c>
      <c r="BJ24" s="27" t="e">
        <f t="shared" si="5"/>
        <v>#VALUE!</v>
      </c>
      <c r="BK24" s="27" t="e">
        <f t="shared" si="5"/>
        <v>#VALUE!</v>
      </c>
      <c r="BL24" s="27" t="e">
        <f t="shared" si="5"/>
        <v>#VALUE!</v>
      </c>
      <c r="BM24" s="27" t="e">
        <f t="shared" si="5"/>
        <v>#VALUE!</v>
      </c>
      <c r="BN24" s="27" t="e">
        <f t="shared" si="5"/>
        <v>#VALUE!</v>
      </c>
      <c r="BO24" s="27" t="e">
        <f t="shared" si="5"/>
        <v>#VALUE!</v>
      </c>
      <c r="BP24" s="27" t="e">
        <f t="shared" si="5"/>
        <v>#VALUE!</v>
      </c>
      <c r="BQ24" s="27" t="e">
        <f t="shared" si="5"/>
        <v>#VALUE!</v>
      </c>
      <c r="BR24" s="27" t="e">
        <f t="shared" si="5"/>
        <v>#VALUE!</v>
      </c>
      <c r="BS24" s="27" t="e">
        <f t="shared" si="5"/>
        <v>#VALUE!</v>
      </c>
      <c r="BT24" s="27" t="e">
        <f t="shared" si="5"/>
        <v>#VALUE!</v>
      </c>
      <c r="BU24" s="27" t="e">
        <f t="shared" si="5"/>
        <v>#VALUE!</v>
      </c>
      <c r="BV24" s="27" t="e">
        <f t="shared" si="5"/>
        <v>#VALUE!</v>
      </c>
      <c r="BW24" s="2" t="str">
        <f>IF(COP!C12&lt;&gt;"",COP!C12,"")</f>
        <v/>
      </c>
    </row>
    <row r="25" spans="4:75" ht="13.5" thickBot="1">
      <c r="D25" s="84" t="s">
        <v>126</v>
      </c>
      <c r="E25" s="2" t="s">
        <v>9</v>
      </c>
      <c r="F25" s="23" t="str">
        <f>IF(DAY(COP!G13)=0,"",DAY(COP!G13))</f>
        <v/>
      </c>
      <c r="G25" s="24" t="e">
        <f>IF(DAY(COP!H13)=0,"",DAY(COP!H13))</f>
        <v>#VALUE!</v>
      </c>
      <c r="H25" s="30" t="s">
        <v>178</v>
      </c>
      <c r="I25" s="28" t="str">
        <f t="shared" si="4"/>
        <v/>
      </c>
      <c r="J25" s="27" t="e">
        <f t="shared" si="2"/>
        <v>#VALUE!</v>
      </c>
      <c r="K25" s="27" t="e">
        <f t="shared" si="2"/>
        <v>#VALUE!</v>
      </c>
      <c r="L25" s="27" t="e">
        <f t="shared" si="2"/>
        <v>#VALUE!</v>
      </c>
      <c r="M25" s="27" t="e">
        <f t="shared" si="2"/>
        <v>#VALUE!</v>
      </c>
      <c r="N25" s="27" t="e">
        <f t="shared" si="2"/>
        <v>#VALUE!</v>
      </c>
      <c r="O25" s="27" t="e">
        <f t="shared" si="2"/>
        <v>#VALUE!</v>
      </c>
      <c r="P25" s="27" t="e">
        <f t="shared" si="2"/>
        <v>#VALUE!</v>
      </c>
      <c r="Q25" s="27" t="e">
        <f t="shared" si="2"/>
        <v>#VALUE!</v>
      </c>
      <c r="R25" s="27" t="e">
        <f t="shared" si="2"/>
        <v>#VALUE!</v>
      </c>
      <c r="S25" s="27" t="e">
        <f t="shared" si="2"/>
        <v>#VALUE!</v>
      </c>
      <c r="T25" s="27" t="e">
        <f t="shared" si="2"/>
        <v>#VALUE!</v>
      </c>
      <c r="U25" s="27" t="e">
        <f t="shared" si="2"/>
        <v>#VALUE!</v>
      </c>
      <c r="V25" s="27" t="e">
        <f t="shared" si="2"/>
        <v>#VALUE!</v>
      </c>
      <c r="W25" s="27" t="e">
        <f t="shared" si="2"/>
        <v>#VALUE!</v>
      </c>
      <c r="X25" s="27" t="e">
        <f t="shared" si="2"/>
        <v>#VALUE!</v>
      </c>
      <c r="Y25" s="27" t="e">
        <f t="shared" si="2"/>
        <v>#VALUE!</v>
      </c>
      <c r="Z25" s="27" t="e">
        <f t="shared" si="2"/>
        <v>#VALUE!</v>
      </c>
      <c r="AA25" s="27" t="e">
        <f t="shared" si="2"/>
        <v>#VALUE!</v>
      </c>
      <c r="AB25" s="27" t="e">
        <f t="shared" si="2"/>
        <v>#VALUE!</v>
      </c>
      <c r="AC25" s="27" t="e">
        <f t="shared" si="2"/>
        <v>#VALUE!</v>
      </c>
      <c r="AD25" s="27" t="e">
        <f t="shared" si="2"/>
        <v>#VALUE!</v>
      </c>
      <c r="AE25" s="27" t="e">
        <f t="shared" si="2"/>
        <v>#VALUE!</v>
      </c>
      <c r="AF25" s="27" t="e">
        <f t="shared" si="2"/>
        <v>#VALUE!</v>
      </c>
      <c r="AG25" s="27" t="e">
        <f t="shared" si="2"/>
        <v>#VALUE!</v>
      </c>
      <c r="AH25" s="27" t="e">
        <f t="shared" si="2"/>
        <v>#VALUE!</v>
      </c>
      <c r="AI25" s="27" t="e">
        <f t="shared" si="2"/>
        <v>#VALUE!</v>
      </c>
      <c r="AJ25" s="27" t="e">
        <f t="shared" si="2"/>
        <v>#VALUE!</v>
      </c>
      <c r="AK25" s="27" t="e">
        <f t="shared" si="2"/>
        <v>#VALUE!</v>
      </c>
      <c r="AL25" s="27" t="e">
        <f t="shared" si="2"/>
        <v>#VALUE!</v>
      </c>
      <c r="AM25" s="27" t="e">
        <f t="shared" si="2"/>
        <v>#VALUE!</v>
      </c>
      <c r="AN25" s="2" t="str">
        <f>IF(COP!B13&lt;&gt;"",COP!B13,"")</f>
        <v/>
      </c>
      <c r="AQ25" s="30" t="s">
        <v>178</v>
      </c>
      <c r="AR25" s="27" t="str">
        <f t="shared" ref="AR25:AR41" si="6">IF($F25=$I$21,$BW25,"")</f>
        <v/>
      </c>
      <c r="AS25" s="27" t="e">
        <f t="shared" si="5"/>
        <v>#VALUE!</v>
      </c>
      <c r="AT25" s="27" t="e">
        <f t="shared" si="5"/>
        <v>#VALUE!</v>
      </c>
      <c r="AU25" s="27" t="e">
        <f t="shared" si="5"/>
        <v>#VALUE!</v>
      </c>
      <c r="AV25" s="27" t="e">
        <f t="shared" si="5"/>
        <v>#VALUE!</v>
      </c>
      <c r="AW25" s="27" t="e">
        <f t="shared" si="5"/>
        <v>#VALUE!</v>
      </c>
      <c r="AX25" s="27" t="e">
        <f t="shared" si="5"/>
        <v>#VALUE!</v>
      </c>
      <c r="AY25" s="27" t="e">
        <f t="shared" si="5"/>
        <v>#VALUE!</v>
      </c>
      <c r="AZ25" s="27" t="e">
        <f t="shared" si="5"/>
        <v>#VALUE!</v>
      </c>
      <c r="BA25" s="27" t="e">
        <f t="shared" si="5"/>
        <v>#VALUE!</v>
      </c>
      <c r="BB25" s="27" t="e">
        <f t="shared" si="5"/>
        <v>#VALUE!</v>
      </c>
      <c r="BC25" s="27" t="e">
        <f t="shared" si="5"/>
        <v>#VALUE!</v>
      </c>
      <c r="BD25" s="27" t="e">
        <f t="shared" si="5"/>
        <v>#VALUE!</v>
      </c>
      <c r="BE25" s="27" t="e">
        <f t="shared" si="5"/>
        <v>#VALUE!</v>
      </c>
      <c r="BF25" s="27" t="e">
        <f t="shared" si="5"/>
        <v>#VALUE!</v>
      </c>
      <c r="BG25" s="27" t="e">
        <f t="shared" si="5"/>
        <v>#VALUE!</v>
      </c>
      <c r="BH25" s="27" t="e">
        <f t="shared" si="5"/>
        <v>#VALUE!</v>
      </c>
      <c r="BI25" s="27" t="e">
        <f t="shared" si="5"/>
        <v>#VALUE!</v>
      </c>
      <c r="BJ25" s="27" t="e">
        <f t="shared" si="5"/>
        <v>#VALUE!</v>
      </c>
      <c r="BK25" s="27" t="e">
        <f t="shared" si="5"/>
        <v>#VALUE!</v>
      </c>
      <c r="BL25" s="27" t="e">
        <f t="shared" si="5"/>
        <v>#VALUE!</v>
      </c>
      <c r="BM25" s="27" t="e">
        <f t="shared" si="5"/>
        <v>#VALUE!</v>
      </c>
      <c r="BN25" s="27" t="e">
        <f t="shared" si="5"/>
        <v>#VALUE!</v>
      </c>
      <c r="BO25" s="27" t="e">
        <f t="shared" si="5"/>
        <v>#VALUE!</v>
      </c>
      <c r="BP25" s="27" t="e">
        <f t="shared" si="5"/>
        <v>#VALUE!</v>
      </c>
      <c r="BQ25" s="27" t="e">
        <f t="shared" si="5"/>
        <v>#VALUE!</v>
      </c>
      <c r="BR25" s="27" t="e">
        <f t="shared" si="5"/>
        <v>#VALUE!</v>
      </c>
      <c r="BS25" s="27" t="e">
        <f t="shared" si="5"/>
        <v>#VALUE!</v>
      </c>
      <c r="BT25" s="27" t="e">
        <f t="shared" si="5"/>
        <v>#VALUE!</v>
      </c>
      <c r="BU25" s="27" t="e">
        <f t="shared" si="5"/>
        <v>#VALUE!</v>
      </c>
      <c r="BV25" s="27" t="e">
        <f t="shared" si="5"/>
        <v>#VALUE!</v>
      </c>
      <c r="BW25" s="2" t="str">
        <f>IF(COP!C13&lt;&gt;"",COP!C13,"")</f>
        <v/>
      </c>
    </row>
    <row r="26" spans="4:75" ht="13.5" thickBot="1">
      <c r="D26" s="84" t="s">
        <v>124</v>
      </c>
      <c r="E26" s="2" t="s">
        <v>10</v>
      </c>
      <c r="F26" s="23" t="str">
        <f>IF(DAY(COP!G14)=0,"",DAY(COP!G14))</f>
        <v/>
      </c>
      <c r="G26" s="24" t="e">
        <f>IF(DAY(COP!H14)=0,"",DAY(COP!H14))</f>
        <v>#VALUE!</v>
      </c>
      <c r="H26" s="30" t="s">
        <v>179</v>
      </c>
      <c r="I26" s="28" t="str">
        <f t="shared" si="4"/>
        <v/>
      </c>
      <c r="J26" s="27" t="e">
        <f t="shared" si="2"/>
        <v>#VALUE!</v>
      </c>
      <c r="K26" s="27" t="e">
        <f t="shared" si="2"/>
        <v>#VALUE!</v>
      </c>
      <c r="L26" s="27" t="e">
        <f t="shared" si="2"/>
        <v>#VALUE!</v>
      </c>
      <c r="M26" s="27" t="e">
        <f t="shared" si="2"/>
        <v>#VALUE!</v>
      </c>
      <c r="N26" s="27" t="e">
        <f t="shared" si="2"/>
        <v>#VALUE!</v>
      </c>
      <c r="O26" s="27" t="e">
        <f t="shared" si="2"/>
        <v>#VALUE!</v>
      </c>
      <c r="P26" s="27" t="e">
        <f t="shared" si="2"/>
        <v>#VALUE!</v>
      </c>
      <c r="Q26" s="27" t="e">
        <f t="shared" si="2"/>
        <v>#VALUE!</v>
      </c>
      <c r="R26" s="27" t="e">
        <f t="shared" si="2"/>
        <v>#VALUE!</v>
      </c>
      <c r="S26" s="27" t="e">
        <f t="shared" si="2"/>
        <v>#VALUE!</v>
      </c>
      <c r="T26" s="27" t="e">
        <f t="shared" si="2"/>
        <v>#VALUE!</v>
      </c>
      <c r="U26" s="27" t="e">
        <f t="shared" si="2"/>
        <v>#VALUE!</v>
      </c>
      <c r="V26" s="27" t="e">
        <f t="shared" si="2"/>
        <v>#VALUE!</v>
      </c>
      <c r="W26" s="27" t="e">
        <f t="shared" si="2"/>
        <v>#VALUE!</v>
      </c>
      <c r="X26" s="27" t="e">
        <f t="shared" si="2"/>
        <v>#VALUE!</v>
      </c>
      <c r="Y26" s="27" t="e">
        <f t="shared" si="2"/>
        <v>#VALUE!</v>
      </c>
      <c r="Z26" s="27" t="e">
        <f t="shared" si="2"/>
        <v>#VALUE!</v>
      </c>
      <c r="AA26" s="27" t="e">
        <f t="shared" si="2"/>
        <v>#VALUE!</v>
      </c>
      <c r="AB26" s="27" t="e">
        <f t="shared" si="2"/>
        <v>#VALUE!</v>
      </c>
      <c r="AC26" s="27" t="e">
        <f t="shared" si="2"/>
        <v>#VALUE!</v>
      </c>
      <c r="AD26" s="27" t="e">
        <f t="shared" si="2"/>
        <v>#VALUE!</v>
      </c>
      <c r="AE26" s="27" t="e">
        <f t="shared" si="2"/>
        <v>#VALUE!</v>
      </c>
      <c r="AF26" s="27" t="e">
        <f t="shared" si="2"/>
        <v>#VALUE!</v>
      </c>
      <c r="AG26" s="27" t="e">
        <f t="shared" si="2"/>
        <v>#VALUE!</v>
      </c>
      <c r="AH26" s="27" t="e">
        <f t="shared" si="2"/>
        <v>#VALUE!</v>
      </c>
      <c r="AI26" s="27" t="e">
        <f t="shared" si="2"/>
        <v>#VALUE!</v>
      </c>
      <c r="AJ26" s="27" t="e">
        <f t="shared" si="2"/>
        <v>#VALUE!</v>
      </c>
      <c r="AK26" s="27" t="e">
        <f t="shared" si="2"/>
        <v>#VALUE!</v>
      </c>
      <c r="AL26" s="27" t="e">
        <f t="shared" si="2"/>
        <v>#VALUE!</v>
      </c>
      <c r="AM26" s="27" t="e">
        <f t="shared" si="2"/>
        <v>#VALUE!</v>
      </c>
      <c r="AN26" s="2" t="str">
        <f>IF(COP!B14&lt;&gt;"",COP!B14,"")</f>
        <v/>
      </c>
      <c r="AQ26" s="30" t="s">
        <v>179</v>
      </c>
      <c r="AR26" s="27" t="str">
        <f t="shared" si="6"/>
        <v/>
      </c>
      <c r="AS26" s="27" t="e">
        <f t="shared" si="5"/>
        <v>#VALUE!</v>
      </c>
      <c r="AT26" s="27" t="e">
        <f t="shared" si="5"/>
        <v>#VALUE!</v>
      </c>
      <c r="AU26" s="27" t="e">
        <f t="shared" si="5"/>
        <v>#VALUE!</v>
      </c>
      <c r="AV26" s="27" t="e">
        <f t="shared" si="5"/>
        <v>#VALUE!</v>
      </c>
      <c r="AW26" s="27" t="e">
        <f t="shared" si="5"/>
        <v>#VALUE!</v>
      </c>
      <c r="AX26" s="27" t="e">
        <f t="shared" si="5"/>
        <v>#VALUE!</v>
      </c>
      <c r="AY26" s="27" t="e">
        <f t="shared" si="5"/>
        <v>#VALUE!</v>
      </c>
      <c r="AZ26" s="27" t="e">
        <f t="shared" si="5"/>
        <v>#VALUE!</v>
      </c>
      <c r="BA26" s="27" t="e">
        <f t="shared" si="5"/>
        <v>#VALUE!</v>
      </c>
      <c r="BB26" s="27" t="e">
        <f t="shared" si="5"/>
        <v>#VALUE!</v>
      </c>
      <c r="BC26" s="27" t="e">
        <f t="shared" si="5"/>
        <v>#VALUE!</v>
      </c>
      <c r="BD26" s="27" t="e">
        <f t="shared" si="5"/>
        <v>#VALUE!</v>
      </c>
      <c r="BE26" s="27" t="e">
        <f t="shared" si="5"/>
        <v>#VALUE!</v>
      </c>
      <c r="BF26" s="27" t="e">
        <f t="shared" si="5"/>
        <v>#VALUE!</v>
      </c>
      <c r="BG26" s="27" t="e">
        <f t="shared" si="5"/>
        <v>#VALUE!</v>
      </c>
      <c r="BH26" s="27" t="e">
        <f t="shared" si="5"/>
        <v>#VALUE!</v>
      </c>
      <c r="BI26" s="27" t="e">
        <f t="shared" si="5"/>
        <v>#VALUE!</v>
      </c>
      <c r="BJ26" s="27" t="e">
        <f t="shared" si="5"/>
        <v>#VALUE!</v>
      </c>
      <c r="BK26" s="27" t="e">
        <f t="shared" si="5"/>
        <v>#VALUE!</v>
      </c>
      <c r="BL26" s="27" t="e">
        <f t="shared" si="5"/>
        <v>#VALUE!</v>
      </c>
      <c r="BM26" s="27" t="e">
        <f t="shared" si="5"/>
        <v>#VALUE!</v>
      </c>
      <c r="BN26" s="27" t="e">
        <f t="shared" si="5"/>
        <v>#VALUE!</v>
      </c>
      <c r="BO26" s="27" t="e">
        <f t="shared" si="5"/>
        <v>#VALUE!</v>
      </c>
      <c r="BP26" s="27" t="e">
        <f t="shared" si="5"/>
        <v>#VALUE!</v>
      </c>
      <c r="BQ26" s="27" t="e">
        <f t="shared" si="5"/>
        <v>#VALUE!</v>
      </c>
      <c r="BR26" s="27" t="e">
        <f t="shared" si="5"/>
        <v>#VALUE!</v>
      </c>
      <c r="BS26" s="27" t="e">
        <f t="shared" si="5"/>
        <v>#VALUE!</v>
      </c>
      <c r="BT26" s="27" t="e">
        <f t="shared" si="5"/>
        <v>#VALUE!</v>
      </c>
      <c r="BU26" s="27" t="e">
        <f t="shared" si="5"/>
        <v>#VALUE!</v>
      </c>
      <c r="BV26" s="27" t="e">
        <f t="shared" si="5"/>
        <v>#VALUE!</v>
      </c>
      <c r="BW26" s="2" t="str">
        <f>IF(COP!C14&lt;&gt;"",COP!C14,"")</f>
        <v/>
      </c>
    </row>
    <row r="27" spans="4:75" ht="13.5" thickBot="1">
      <c r="D27" s="84" t="s">
        <v>393</v>
      </c>
      <c r="E27" s="2" t="s">
        <v>11</v>
      </c>
      <c r="F27" s="23" t="str">
        <f>IF(DAY(COP!G15)=0,"",DAY(COP!G15))</f>
        <v/>
      </c>
      <c r="G27" s="24" t="e">
        <f>IF(DAY(COP!H15)=0,"",DAY(COP!H15))</f>
        <v>#VALUE!</v>
      </c>
      <c r="H27" s="30" t="s">
        <v>180</v>
      </c>
      <c r="I27" s="28" t="str">
        <f t="shared" si="4"/>
        <v/>
      </c>
      <c r="J27" s="27" t="e">
        <f t="shared" si="2"/>
        <v>#VALUE!</v>
      </c>
      <c r="K27" s="27" t="e">
        <f t="shared" si="2"/>
        <v>#VALUE!</v>
      </c>
      <c r="L27" s="27" t="e">
        <f t="shared" si="2"/>
        <v>#VALUE!</v>
      </c>
      <c r="M27" s="27" t="e">
        <f t="shared" si="2"/>
        <v>#VALUE!</v>
      </c>
      <c r="N27" s="27" t="e">
        <f t="shared" si="2"/>
        <v>#VALUE!</v>
      </c>
      <c r="O27" s="27" t="e">
        <f t="shared" si="2"/>
        <v>#VALUE!</v>
      </c>
      <c r="P27" s="27" t="e">
        <f t="shared" si="2"/>
        <v>#VALUE!</v>
      </c>
      <c r="Q27" s="27" t="e">
        <f t="shared" si="2"/>
        <v>#VALUE!</v>
      </c>
      <c r="R27" s="27" t="e">
        <f t="shared" si="2"/>
        <v>#VALUE!</v>
      </c>
      <c r="S27" s="27" t="e">
        <f t="shared" si="2"/>
        <v>#VALUE!</v>
      </c>
      <c r="T27" s="27" t="e">
        <f t="shared" si="2"/>
        <v>#VALUE!</v>
      </c>
      <c r="U27" s="27" t="e">
        <f t="shared" si="2"/>
        <v>#VALUE!</v>
      </c>
      <c r="V27" s="27" t="e">
        <f t="shared" si="2"/>
        <v>#VALUE!</v>
      </c>
      <c r="W27" s="27" t="e">
        <f t="shared" si="2"/>
        <v>#VALUE!</v>
      </c>
      <c r="X27" s="27" t="e">
        <f t="shared" si="2"/>
        <v>#VALUE!</v>
      </c>
      <c r="Y27" s="27" t="e">
        <f t="shared" si="2"/>
        <v>#VALUE!</v>
      </c>
      <c r="Z27" s="27" t="e">
        <f t="shared" si="2"/>
        <v>#VALUE!</v>
      </c>
      <c r="AA27" s="27" t="e">
        <f t="shared" si="2"/>
        <v>#VALUE!</v>
      </c>
      <c r="AB27" s="27" t="e">
        <f t="shared" si="2"/>
        <v>#VALUE!</v>
      </c>
      <c r="AC27" s="27" t="e">
        <f t="shared" si="2"/>
        <v>#VALUE!</v>
      </c>
      <c r="AD27" s="27" t="e">
        <f t="shared" si="2"/>
        <v>#VALUE!</v>
      </c>
      <c r="AE27" s="27" t="e">
        <f t="shared" si="2"/>
        <v>#VALUE!</v>
      </c>
      <c r="AF27" s="27" t="e">
        <f t="shared" si="2"/>
        <v>#VALUE!</v>
      </c>
      <c r="AG27" s="27" t="e">
        <f t="shared" si="2"/>
        <v>#VALUE!</v>
      </c>
      <c r="AH27" s="27" t="e">
        <f t="shared" si="2"/>
        <v>#VALUE!</v>
      </c>
      <c r="AI27" s="27" t="e">
        <f t="shared" si="2"/>
        <v>#VALUE!</v>
      </c>
      <c r="AJ27" s="27" t="e">
        <f t="shared" si="2"/>
        <v>#VALUE!</v>
      </c>
      <c r="AK27" s="27" t="e">
        <f t="shared" si="2"/>
        <v>#VALUE!</v>
      </c>
      <c r="AL27" s="27" t="e">
        <f t="shared" si="2"/>
        <v>#VALUE!</v>
      </c>
      <c r="AM27" s="27" t="e">
        <f t="shared" si="2"/>
        <v>#VALUE!</v>
      </c>
      <c r="AN27" s="2" t="str">
        <f>IF(COP!B15&lt;&gt;"",COP!B15,"")</f>
        <v/>
      </c>
      <c r="AQ27" s="30" t="s">
        <v>180</v>
      </c>
      <c r="AR27" s="27" t="str">
        <f t="shared" si="6"/>
        <v/>
      </c>
      <c r="AS27" s="27" t="e">
        <f t="shared" si="5"/>
        <v>#VALUE!</v>
      </c>
      <c r="AT27" s="27" t="e">
        <f t="shared" si="5"/>
        <v>#VALUE!</v>
      </c>
      <c r="AU27" s="27" t="e">
        <f t="shared" si="5"/>
        <v>#VALUE!</v>
      </c>
      <c r="AV27" s="27" t="e">
        <f t="shared" si="5"/>
        <v>#VALUE!</v>
      </c>
      <c r="AW27" s="27" t="e">
        <f t="shared" si="5"/>
        <v>#VALUE!</v>
      </c>
      <c r="AX27" s="27" t="e">
        <f t="shared" si="5"/>
        <v>#VALUE!</v>
      </c>
      <c r="AY27" s="27" t="e">
        <f t="shared" si="5"/>
        <v>#VALUE!</v>
      </c>
      <c r="AZ27" s="27" t="e">
        <f t="shared" si="5"/>
        <v>#VALUE!</v>
      </c>
      <c r="BA27" s="27" t="e">
        <f t="shared" si="5"/>
        <v>#VALUE!</v>
      </c>
      <c r="BB27" s="27" t="e">
        <f t="shared" si="5"/>
        <v>#VALUE!</v>
      </c>
      <c r="BC27" s="27" t="e">
        <f t="shared" si="5"/>
        <v>#VALUE!</v>
      </c>
      <c r="BD27" s="27" t="e">
        <f t="shared" si="5"/>
        <v>#VALUE!</v>
      </c>
      <c r="BE27" s="27" t="e">
        <f t="shared" si="5"/>
        <v>#VALUE!</v>
      </c>
      <c r="BF27" s="27" t="e">
        <f t="shared" si="5"/>
        <v>#VALUE!</v>
      </c>
      <c r="BG27" s="27" t="e">
        <f t="shared" si="5"/>
        <v>#VALUE!</v>
      </c>
      <c r="BH27" s="27" t="e">
        <f t="shared" si="5"/>
        <v>#VALUE!</v>
      </c>
      <c r="BI27" s="27" t="e">
        <f t="shared" si="5"/>
        <v>#VALUE!</v>
      </c>
      <c r="BJ27" s="27" t="e">
        <f t="shared" si="5"/>
        <v>#VALUE!</v>
      </c>
      <c r="BK27" s="27" t="e">
        <f t="shared" si="5"/>
        <v>#VALUE!</v>
      </c>
      <c r="BL27" s="27" t="e">
        <f t="shared" si="5"/>
        <v>#VALUE!</v>
      </c>
      <c r="BM27" s="27" t="e">
        <f t="shared" si="5"/>
        <v>#VALUE!</v>
      </c>
      <c r="BN27" s="27" t="e">
        <f t="shared" si="5"/>
        <v>#VALUE!</v>
      </c>
      <c r="BO27" s="27" t="e">
        <f t="shared" si="5"/>
        <v>#VALUE!</v>
      </c>
      <c r="BP27" s="27" t="e">
        <f t="shared" si="5"/>
        <v>#VALUE!</v>
      </c>
      <c r="BQ27" s="27" t="e">
        <f t="shared" si="5"/>
        <v>#VALUE!</v>
      </c>
      <c r="BR27" s="27" t="e">
        <f t="shared" si="5"/>
        <v>#VALUE!</v>
      </c>
      <c r="BS27" s="27" t="e">
        <f t="shared" si="5"/>
        <v>#VALUE!</v>
      </c>
      <c r="BT27" s="27" t="e">
        <f t="shared" si="5"/>
        <v>#VALUE!</v>
      </c>
      <c r="BU27" s="27" t="e">
        <f t="shared" si="5"/>
        <v>#VALUE!</v>
      </c>
      <c r="BV27" s="27" t="e">
        <f t="shared" si="5"/>
        <v>#VALUE!</v>
      </c>
      <c r="BW27" s="2" t="str">
        <f>IF(COP!C15&lt;&gt;"",COP!C15,"")</f>
        <v/>
      </c>
    </row>
    <row r="28" spans="4:75" ht="13.5" thickBot="1">
      <c r="D28" s="84" t="s">
        <v>587</v>
      </c>
      <c r="E28" s="2" t="s">
        <v>12</v>
      </c>
      <c r="F28" s="23" t="str">
        <f>IF(DAY(COP!G16)=0,"",DAY(COP!G16))</f>
        <v/>
      </c>
      <c r="G28" s="24" t="e">
        <f>IF(DAY(COP!H16)=0,"",DAY(COP!H16))</f>
        <v>#VALUE!</v>
      </c>
      <c r="H28" s="30" t="s">
        <v>181</v>
      </c>
      <c r="I28" s="28" t="str">
        <f t="shared" si="4"/>
        <v/>
      </c>
      <c r="J28" s="27" t="e">
        <f t="shared" si="2"/>
        <v>#VALUE!</v>
      </c>
      <c r="K28" s="27" t="e">
        <f t="shared" si="2"/>
        <v>#VALUE!</v>
      </c>
      <c r="L28" s="27" t="e">
        <f t="shared" si="2"/>
        <v>#VALUE!</v>
      </c>
      <c r="M28" s="27" t="e">
        <f t="shared" si="2"/>
        <v>#VALUE!</v>
      </c>
      <c r="N28" s="27" t="e">
        <f t="shared" si="2"/>
        <v>#VALUE!</v>
      </c>
      <c r="O28" s="27" t="e">
        <f t="shared" si="2"/>
        <v>#VALUE!</v>
      </c>
      <c r="P28" s="27" t="e">
        <f t="shared" si="2"/>
        <v>#VALUE!</v>
      </c>
      <c r="Q28" s="27" t="e">
        <f t="shared" si="2"/>
        <v>#VALUE!</v>
      </c>
      <c r="R28" s="27" t="e">
        <f t="shared" si="2"/>
        <v>#VALUE!</v>
      </c>
      <c r="S28" s="27" t="e">
        <f t="shared" si="2"/>
        <v>#VALUE!</v>
      </c>
      <c r="T28" s="27" t="e">
        <f t="shared" si="2"/>
        <v>#VALUE!</v>
      </c>
      <c r="U28" s="27" t="e">
        <f t="shared" si="2"/>
        <v>#VALUE!</v>
      </c>
      <c r="V28" s="27" t="e">
        <f t="shared" si="2"/>
        <v>#VALUE!</v>
      </c>
      <c r="W28" s="27" t="e">
        <f t="shared" si="2"/>
        <v>#VALUE!</v>
      </c>
      <c r="X28" s="27" t="e">
        <f t="shared" si="2"/>
        <v>#VALUE!</v>
      </c>
      <c r="Y28" s="27" t="e">
        <f t="shared" si="2"/>
        <v>#VALUE!</v>
      </c>
      <c r="Z28" s="27" t="e">
        <f t="shared" si="2"/>
        <v>#VALUE!</v>
      </c>
      <c r="AA28" s="27" t="e">
        <f t="shared" si="2"/>
        <v>#VALUE!</v>
      </c>
      <c r="AB28" s="27" t="e">
        <f t="shared" si="2"/>
        <v>#VALUE!</v>
      </c>
      <c r="AC28" s="27" t="e">
        <f t="shared" si="2"/>
        <v>#VALUE!</v>
      </c>
      <c r="AD28" s="27" t="e">
        <f t="shared" si="2"/>
        <v>#VALUE!</v>
      </c>
      <c r="AE28" s="27" t="e">
        <f t="shared" si="2"/>
        <v>#VALUE!</v>
      </c>
      <c r="AF28" s="27" t="e">
        <f t="shared" si="2"/>
        <v>#VALUE!</v>
      </c>
      <c r="AG28" s="27" t="e">
        <f t="shared" si="2"/>
        <v>#VALUE!</v>
      </c>
      <c r="AH28" s="27" t="e">
        <f t="shared" si="2"/>
        <v>#VALUE!</v>
      </c>
      <c r="AI28" s="27" t="e">
        <f t="shared" si="2"/>
        <v>#VALUE!</v>
      </c>
      <c r="AJ28" s="27" t="e">
        <f t="shared" si="2"/>
        <v>#VALUE!</v>
      </c>
      <c r="AK28" s="27" t="e">
        <f t="shared" si="2"/>
        <v>#VALUE!</v>
      </c>
      <c r="AL28" s="27" t="e">
        <f t="shared" si="2"/>
        <v>#VALUE!</v>
      </c>
      <c r="AM28" s="27" t="e">
        <f t="shared" si="2"/>
        <v>#VALUE!</v>
      </c>
      <c r="AN28" s="2" t="str">
        <f>IF(COP!B16&lt;&gt;"",COP!B16,"")</f>
        <v/>
      </c>
      <c r="AQ28" s="30" t="s">
        <v>181</v>
      </c>
      <c r="AR28" s="27" t="str">
        <f t="shared" si="6"/>
        <v/>
      </c>
      <c r="AS28" s="27" t="e">
        <f t="shared" si="5"/>
        <v>#VALUE!</v>
      </c>
      <c r="AT28" s="27" t="e">
        <f t="shared" si="5"/>
        <v>#VALUE!</v>
      </c>
      <c r="AU28" s="27" t="e">
        <f t="shared" si="5"/>
        <v>#VALUE!</v>
      </c>
      <c r="AV28" s="27" t="e">
        <f t="shared" si="5"/>
        <v>#VALUE!</v>
      </c>
      <c r="AW28" s="27" t="e">
        <f t="shared" si="5"/>
        <v>#VALUE!</v>
      </c>
      <c r="AX28" s="27" t="e">
        <f t="shared" si="5"/>
        <v>#VALUE!</v>
      </c>
      <c r="AY28" s="27" t="e">
        <f t="shared" si="5"/>
        <v>#VALUE!</v>
      </c>
      <c r="AZ28" s="27" t="e">
        <f t="shared" si="5"/>
        <v>#VALUE!</v>
      </c>
      <c r="BA28" s="27" t="e">
        <f t="shared" si="5"/>
        <v>#VALUE!</v>
      </c>
      <c r="BB28" s="27" t="e">
        <f t="shared" si="5"/>
        <v>#VALUE!</v>
      </c>
      <c r="BC28" s="27" t="e">
        <f t="shared" si="5"/>
        <v>#VALUE!</v>
      </c>
      <c r="BD28" s="27" t="e">
        <f t="shared" si="5"/>
        <v>#VALUE!</v>
      </c>
      <c r="BE28" s="27" t="e">
        <f t="shared" si="5"/>
        <v>#VALUE!</v>
      </c>
      <c r="BF28" s="27" t="e">
        <f t="shared" si="5"/>
        <v>#VALUE!</v>
      </c>
      <c r="BG28" s="27" t="e">
        <f t="shared" si="5"/>
        <v>#VALUE!</v>
      </c>
      <c r="BH28" s="27" t="e">
        <f t="shared" si="5"/>
        <v>#VALUE!</v>
      </c>
      <c r="BI28" s="27" t="e">
        <f t="shared" si="5"/>
        <v>#VALUE!</v>
      </c>
      <c r="BJ28" s="27" t="e">
        <f t="shared" si="5"/>
        <v>#VALUE!</v>
      </c>
      <c r="BK28" s="27" t="e">
        <f t="shared" si="5"/>
        <v>#VALUE!</v>
      </c>
      <c r="BL28" s="27" t="e">
        <f t="shared" si="5"/>
        <v>#VALUE!</v>
      </c>
      <c r="BM28" s="27" t="e">
        <f t="shared" si="5"/>
        <v>#VALUE!</v>
      </c>
      <c r="BN28" s="27" t="e">
        <f t="shared" si="5"/>
        <v>#VALUE!</v>
      </c>
      <c r="BO28" s="27" t="e">
        <f t="shared" si="5"/>
        <v>#VALUE!</v>
      </c>
      <c r="BP28" s="27" t="e">
        <f t="shared" si="5"/>
        <v>#VALUE!</v>
      </c>
      <c r="BQ28" s="27" t="e">
        <f t="shared" si="5"/>
        <v>#VALUE!</v>
      </c>
      <c r="BR28" s="27" t="e">
        <f t="shared" si="5"/>
        <v>#VALUE!</v>
      </c>
      <c r="BS28" s="27" t="e">
        <f t="shared" si="5"/>
        <v>#VALUE!</v>
      </c>
      <c r="BT28" s="27" t="e">
        <f t="shared" si="5"/>
        <v>#VALUE!</v>
      </c>
      <c r="BU28" s="27" t="e">
        <f t="shared" si="5"/>
        <v>#VALUE!</v>
      </c>
      <c r="BV28" s="27" t="e">
        <f t="shared" si="5"/>
        <v>#VALUE!</v>
      </c>
      <c r="BW28" s="2" t="str">
        <f>IF(COP!C16&lt;&gt;"",COP!C16,"")</f>
        <v/>
      </c>
    </row>
    <row r="29" spans="4:75" ht="13.5" thickBot="1">
      <c r="D29" s="84" t="s">
        <v>89</v>
      </c>
      <c r="E29" s="2" t="s">
        <v>13</v>
      </c>
      <c r="F29" s="23" t="str">
        <f>IF(DAY(COP!G17)=0,"",DAY(COP!G17))</f>
        <v/>
      </c>
      <c r="G29" s="24" t="e">
        <f>IF(DAY(COP!H17)=0,"",DAY(COP!H17))</f>
        <v>#VALUE!</v>
      </c>
      <c r="H29" s="30" t="s">
        <v>182</v>
      </c>
      <c r="I29" s="28" t="str">
        <f t="shared" si="4"/>
        <v/>
      </c>
      <c r="J29" s="27" t="e">
        <f t="shared" si="2"/>
        <v>#VALUE!</v>
      </c>
      <c r="K29" s="27" t="e">
        <f t="shared" si="2"/>
        <v>#VALUE!</v>
      </c>
      <c r="L29" s="27" t="e">
        <f t="shared" si="2"/>
        <v>#VALUE!</v>
      </c>
      <c r="M29" s="27" t="e">
        <f t="shared" si="2"/>
        <v>#VALUE!</v>
      </c>
      <c r="N29" s="27" t="e">
        <f t="shared" si="2"/>
        <v>#VALUE!</v>
      </c>
      <c r="O29" s="27" t="e">
        <f t="shared" si="2"/>
        <v>#VALUE!</v>
      </c>
      <c r="P29" s="27" t="e">
        <f t="shared" si="2"/>
        <v>#VALUE!</v>
      </c>
      <c r="Q29" s="27" t="e">
        <f t="shared" si="2"/>
        <v>#VALUE!</v>
      </c>
      <c r="R29" s="27" t="e">
        <f t="shared" si="2"/>
        <v>#VALUE!</v>
      </c>
      <c r="S29" s="27" t="e">
        <f t="shared" si="2"/>
        <v>#VALUE!</v>
      </c>
      <c r="T29" s="27" t="e">
        <f t="shared" si="2"/>
        <v>#VALUE!</v>
      </c>
      <c r="U29" s="27" t="e">
        <f t="shared" si="2"/>
        <v>#VALUE!</v>
      </c>
      <c r="V29" s="27" t="e">
        <f t="shared" si="2"/>
        <v>#VALUE!</v>
      </c>
      <c r="W29" s="27" t="e">
        <f t="shared" si="2"/>
        <v>#VALUE!</v>
      </c>
      <c r="X29" s="27" t="e">
        <f t="shared" si="2"/>
        <v>#VALUE!</v>
      </c>
      <c r="Y29" s="27" t="e">
        <f t="shared" si="2"/>
        <v>#VALUE!</v>
      </c>
      <c r="Z29" s="27" t="e">
        <f t="shared" si="2"/>
        <v>#VALUE!</v>
      </c>
      <c r="AA29" s="27" t="e">
        <f t="shared" si="2"/>
        <v>#VALUE!</v>
      </c>
      <c r="AB29" s="27" t="e">
        <f t="shared" si="2"/>
        <v>#VALUE!</v>
      </c>
      <c r="AC29" s="27" t="e">
        <f t="shared" si="2"/>
        <v>#VALUE!</v>
      </c>
      <c r="AD29" s="27" t="e">
        <f t="shared" si="2"/>
        <v>#VALUE!</v>
      </c>
      <c r="AE29" s="27" t="e">
        <f t="shared" si="2"/>
        <v>#VALUE!</v>
      </c>
      <c r="AF29" s="27" t="e">
        <f t="shared" si="2"/>
        <v>#VALUE!</v>
      </c>
      <c r="AG29" s="27" t="e">
        <f t="shared" si="2"/>
        <v>#VALUE!</v>
      </c>
      <c r="AH29" s="27" t="e">
        <f t="shared" si="2"/>
        <v>#VALUE!</v>
      </c>
      <c r="AI29" s="27" t="e">
        <f t="shared" si="2"/>
        <v>#VALUE!</v>
      </c>
      <c r="AJ29" s="27" t="e">
        <f t="shared" si="2"/>
        <v>#VALUE!</v>
      </c>
      <c r="AK29" s="27" t="e">
        <f t="shared" si="2"/>
        <v>#VALUE!</v>
      </c>
      <c r="AL29" s="27" t="e">
        <f t="shared" si="2"/>
        <v>#VALUE!</v>
      </c>
      <c r="AM29" s="27" t="e">
        <f t="shared" si="2"/>
        <v>#VALUE!</v>
      </c>
      <c r="AN29" s="2" t="str">
        <f>IF(COP!B17&lt;&gt;"",COP!B17,"")</f>
        <v/>
      </c>
      <c r="AQ29" s="30" t="s">
        <v>182</v>
      </c>
      <c r="AR29" s="27" t="str">
        <f t="shared" si="6"/>
        <v/>
      </c>
      <c r="AS29" s="27" t="e">
        <f t="shared" si="5"/>
        <v>#VALUE!</v>
      </c>
      <c r="AT29" s="27" t="e">
        <f t="shared" si="5"/>
        <v>#VALUE!</v>
      </c>
      <c r="AU29" s="27" t="e">
        <f t="shared" si="5"/>
        <v>#VALUE!</v>
      </c>
      <c r="AV29" s="27" t="e">
        <f t="shared" si="5"/>
        <v>#VALUE!</v>
      </c>
      <c r="AW29" s="27" t="e">
        <f t="shared" si="5"/>
        <v>#VALUE!</v>
      </c>
      <c r="AX29" s="27" t="e">
        <f t="shared" si="5"/>
        <v>#VALUE!</v>
      </c>
      <c r="AY29" s="27" t="e">
        <f t="shared" si="5"/>
        <v>#VALUE!</v>
      </c>
      <c r="AZ29" s="27" t="e">
        <f t="shared" si="5"/>
        <v>#VALUE!</v>
      </c>
      <c r="BA29" s="27" t="e">
        <f t="shared" si="5"/>
        <v>#VALUE!</v>
      </c>
      <c r="BB29" s="27" t="e">
        <f t="shared" si="5"/>
        <v>#VALUE!</v>
      </c>
      <c r="BC29" s="27" t="e">
        <f t="shared" si="5"/>
        <v>#VALUE!</v>
      </c>
      <c r="BD29" s="27" t="e">
        <f t="shared" si="5"/>
        <v>#VALUE!</v>
      </c>
      <c r="BE29" s="27" t="e">
        <f t="shared" si="5"/>
        <v>#VALUE!</v>
      </c>
      <c r="BF29" s="27" t="e">
        <f t="shared" si="5"/>
        <v>#VALUE!</v>
      </c>
      <c r="BG29" s="27" t="e">
        <f t="shared" si="5"/>
        <v>#VALUE!</v>
      </c>
      <c r="BH29" s="27" t="e">
        <f t="shared" si="5"/>
        <v>#VALUE!</v>
      </c>
      <c r="BI29" s="27" t="e">
        <f t="shared" si="5"/>
        <v>#VALUE!</v>
      </c>
      <c r="BJ29" s="27" t="e">
        <f t="shared" si="5"/>
        <v>#VALUE!</v>
      </c>
      <c r="BK29" s="27" t="e">
        <f t="shared" si="5"/>
        <v>#VALUE!</v>
      </c>
      <c r="BL29" s="27" t="e">
        <f t="shared" si="5"/>
        <v>#VALUE!</v>
      </c>
      <c r="BM29" s="27" t="e">
        <f t="shared" si="5"/>
        <v>#VALUE!</v>
      </c>
      <c r="BN29" s="27" t="e">
        <f t="shared" si="5"/>
        <v>#VALUE!</v>
      </c>
      <c r="BO29" s="27" t="e">
        <f t="shared" si="5"/>
        <v>#VALUE!</v>
      </c>
      <c r="BP29" s="27" t="e">
        <f t="shared" si="5"/>
        <v>#VALUE!</v>
      </c>
      <c r="BQ29" s="27" t="e">
        <f t="shared" si="5"/>
        <v>#VALUE!</v>
      </c>
      <c r="BR29" s="27" t="e">
        <f t="shared" si="5"/>
        <v>#VALUE!</v>
      </c>
      <c r="BS29" s="27" t="e">
        <f t="shared" si="5"/>
        <v>#VALUE!</v>
      </c>
      <c r="BT29" s="27" t="e">
        <f t="shared" si="5"/>
        <v>#VALUE!</v>
      </c>
      <c r="BU29" s="27" t="e">
        <f t="shared" si="5"/>
        <v>#VALUE!</v>
      </c>
      <c r="BV29" s="27" t="e">
        <f t="shared" si="5"/>
        <v>#VALUE!</v>
      </c>
      <c r="BW29" s="2" t="str">
        <f>IF(COP!C17&lt;&gt;"",COP!C17,"")</f>
        <v/>
      </c>
    </row>
    <row r="30" spans="4:75" ht="13.5" thickBot="1">
      <c r="D30" s="84" t="s">
        <v>92</v>
      </c>
      <c r="E30" s="2" t="s">
        <v>14</v>
      </c>
      <c r="F30" s="23" t="str">
        <f>IF(DAY(COP!G18)=0,"",DAY(COP!G18))</f>
        <v/>
      </c>
      <c r="G30" s="24" t="e">
        <f>IF(DAY(COP!H18)=0,"",DAY(COP!H18))</f>
        <v>#VALUE!</v>
      </c>
      <c r="H30" s="30" t="s">
        <v>183</v>
      </c>
      <c r="I30" s="28" t="str">
        <f t="shared" si="4"/>
        <v/>
      </c>
      <c r="J30" s="27" t="e">
        <f t="shared" si="2"/>
        <v>#VALUE!</v>
      </c>
      <c r="K30" s="27" t="e">
        <f t="shared" si="2"/>
        <v>#VALUE!</v>
      </c>
      <c r="L30" s="27" t="e">
        <f t="shared" si="2"/>
        <v>#VALUE!</v>
      </c>
      <c r="M30" s="27" t="e">
        <f t="shared" si="2"/>
        <v>#VALUE!</v>
      </c>
      <c r="N30" s="27" t="e">
        <f t="shared" si="2"/>
        <v>#VALUE!</v>
      </c>
      <c r="O30" s="27" t="e">
        <f t="shared" si="2"/>
        <v>#VALUE!</v>
      </c>
      <c r="P30" s="27" t="e">
        <f t="shared" si="2"/>
        <v>#VALUE!</v>
      </c>
      <c r="Q30" s="27" t="e">
        <f t="shared" si="2"/>
        <v>#VALUE!</v>
      </c>
      <c r="R30" s="27" t="e">
        <f t="shared" si="2"/>
        <v>#VALUE!</v>
      </c>
      <c r="S30" s="27" t="e">
        <f t="shared" si="2"/>
        <v>#VALUE!</v>
      </c>
      <c r="T30" s="27" t="e">
        <f t="shared" si="2"/>
        <v>#VALUE!</v>
      </c>
      <c r="U30" s="27" t="e">
        <f t="shared" si="2"/>
        <v>#VALUE!</v>
      </c>
      <c r="V30" s="27" t="e">
        <f t="shared" si="2"/>
        <v>#VALUE!</v>
      </c>
      <c r="W30" s="27" t="e">
        <f t="shared" si="2"/>
        <v>#VALUE!</v>
      </c>
      <c r="X30" s="27" t="e">
        <f t="shared" si="2"/>
        <v>#VALUE!</v>
      </c>
      <c r="Y30" s="27" t="e">
        <f t="shared" si="2"/>
        <v>#VALUE!</v>
      </c>
      <c r="Z30" s="27" t="e">
        <f t="shared" si="2"/>
        <v>#VALUE!</v>
      </c>
      <c r="AA30" s="27" t="e">
        <f t="shared" si="2"/>
        <v>#VALUE!</v>
      </c>
      <c r="AB30" s="27" t="e">
        <f t="shared" si="2"/>
        <v>#VALUE!</v>
      </c>
      <c r="AC30" s="27" t="e">
        <f t="shared" si="2"/>
        <v>#VALUE!</v>
      </c>
      <c r="AD30" s="27" t="e">
        <f t="shared" si="2"/>
        <v>#VALUE!</v>
      </c>
      <c r="AE30" s="27" t="e">
        <f t="shared" si="2"/>
        <v>#VALUE!</v>
      </c>
      <c r="AF30" s="27" t="e">
        <f t="shared" si="2"/>
        <v>#VALUE!</v>
      </c>
      <c r="AG30" s="27" t="e">
        <f t="shared" si="2"/>
        <v>#VALUE!</v>
      </c>
      <c r="AH30" s="27" t="e">
        <f t="shared" si="2"/>
        <v>#VALUE!</v>
      </c>
      <c r="AI30" s="27" t="e">
        <f t="shared" si="2"/>
        <v>#VALUE!</v>
      </c>
      <c r="AJ30" s="27" t="e">
        <f t="shared" si="2"/>
        <v>#VALUE!</v>
      </c>
      <c r="AK30" s="27" t="e">
        <f t="shared" si="2"/>
        <v>#VALUE!</v>
      </c>
      <c r="AL30" s="27" t="e">
        <f t="shared" si="2"/>
        <v>#VALUE!</v>
      </c>
      <c r="AM30" s="27" t="e">
        <f t="shared" si="2"/>
        <v>#VALUE!</v>
      </c>
      <c r="AN30" s="2" t="str">
        <f>IF(COP!B18&lt;&gt;"",COP!B18,"")</f>
        <v/>
      </c>
      <c r="AQ30" s="30" t="s">
        <v>183</v>
      </c>
      <c r="AR30" s="27" t="str">
        <f t="shared" si="6"/>
        <v/>
      </c>
      <c r="AS30" s="27" t="e">
        <f t="shared" si="5"/>
        <v>#VALUE!</v>
      </c>
      <c r="AT30" s="27" t="e">
        <f t="shared" si="5"/>
        <v>#VALUE!</v>
      </c>
      <c r="AU30" s="27" t="e">
        <f t="shared" si="5"/>
        <v>#VALUE!</v>
      </c>
      <c r="AV30" s="27" t="e">
        <f t="shared" si="5"/>
        <v>#VALUE!</v>
      </c>
      <c r="AW30" s="27" t="e">
        <f t="shared" si="5"/>
        <v>#VALUE!</v>
      </c>
      <c r="AX30" s="27" t="e">
        <f t="shared" si="5"/>
        <v>#VALUE!</v>
      </c>
      <c r="AY30" s="27" t="e">
        <f t="shared" si="5"/>
        <v>#VALUE!</v>
      </c>
      <c r="AZ30" s="27" t="e">
        <f t="shared" si="5"/>
        <v>#VALUE!</v>
      </c>
      <c r="BA30" s="27" t="e">
        <f t="shared" si="5"/>
        <v>#VALUE!</v>
      </c>
      <c r="BB30" s="27" t="e">
        <f t="shared" si="5"/>
        <v>#VALUE!</v>
      </c>
      <c r="BC30" s="27" t="e">
        <f t="shared" si="5"/>
        <v>#VALUE!</v>
      </c>
      <c r="BD30" s="27" t="e">
        <f t="shared" si="5"/>
        <v>#VALUE!</v>
      </c>
      <c r="BE30" s="27" t="e">
        <f t="shared" si="5"/>
        <v>#VALUE!</v>
      </c>
      <c r="BF30" s="27" t="e">
        <f t="shared" si="5"/>
        <v>#VALUE!</v>
      </c>
      <c r="BG30" s="27" t="e">
        <f t="shared" si="5"/>
        <v>#VALUE!</v>
      </c>
      <c r="BH30" s="27" t="e">
        <f t="shared" si="5"/>
        <v>#VALUE!</v>
      </c>
      <c r="BI30" s="27" t="e">
        <f t="shared" si="5"/>
        <v>#VALUE!</v>
      </c>
      <c r="BJ30" s="27" t="e">
        <f t="shared" si="5"/>
        <v>#VALUE!</v>
      </c>
      <c r="BK30" s="27" t="e">
        <f t="shared" si="5"/>
        <v>#VALUE!</v>
      </c>
      <c r="BL30" s="27" t="e">
        <f t="shared" si="5"/>
        <v>#VALUE!</v>
      </c>
      <c r="BM30" s="27" t="e">
        <f t="shared" si="5"/>
        <v>#VALUE!</v>
      </c>
      <c r="BN30" s="27" t="e">
        <f t="shared" si="5"/>
        <v>#VALUE!</v>
      </c>
      <c r="BO30" s="27" t="e">
        <f t="shared" si="5"/>
        <v>#VALUE!</v>
      </c>
      <c r="BP30" s="27" t="e">
        <f t="shared" si="5"/>
        <v>#VALUE!</v>
      </c>
      <c r="BQ30" s="27" t="e">
        <f t="shared" si="5"/>
        <v>#VALUE!</v>
      </c>
      <c r="BR30" s="27" t="e">
        <f t="shared" si="5"/>
        <v>#VALUE!</v>
      </c>
      <c r="BS30" s="27" t="e">
        <f t="shared" si="5"/>
        <v>#VALUE!</v>
      </c>
      <c r="BT30" s="27" t="e">
        <f t="shared" si="5"/>
        <v>#VALUE!</v>
      </c>
      <c r="BU30" s="27" t="e">
        <f t="shared" si="5"/>
        <v>#VALUE!</v>
      </c>
      <c r="BV30" s="27" t="e">
        <f t="shared" si="5"/>
        <v>#VALUE!</v>
      </c>
      <c r="BW30" s="2" t="str">
        <f>IF(COP!C18&lt;&gt;"",COP!C18,"")</f>
        <v/>
      </c>
    </row>
    <row r="31" spans="4:75" ht="13.5" thickBot="1">
      <c r="D31" s="84" t="s">
        <v>87</v>
      </c>
      <c r="E31" s="2" t="s">
        <v>15</v>
      </c>
      <c r="F31" s="23" t="str">
        <f>IF(DAY(COP!G19)=0,"",DAY(COP!G19))</f>
        <v/>
      </c>
      <c r="G31" s="24" t="e">
        <f>IF(DAY(COP!H19)=0,"",DAY(COP!H19))</f>
        <v>#VALUE!</v>
      </c>
      <c r="H31" s="30" t="s">
        <v>184</v>
      </c>
      <c r="I31" s="28" t="str">
        <f t="shared" si="4"/>
        <v/>
      </c>
      <c r="J31" s="27" t="e">
        <f t="shared" si="2"/>
        <v>#VALUE!</v>
      </c>
      <c r="K31" s="27" t="e">
        <f t="shared" si="2"/>
        <v>#VALUE!</v>
      </c>
      <c r="L31" s="27" t="e">
        <f t="shared" si="2"/>
        <v>#VALUE!</v>
      </c>
      <c r="M31" s="27" t="e">
        <f t="shared" si="2"/>
        <v>#VALUE!</v>
      </c>
      <c r="N31" s="27" t="e">
        <f t="shared" si="2"/>
        <v>#VALUE!</v>
      </c>
      <c r="O31" s="27" t="e">
        <f t="shared" si="2"/>
        <v>#VALUE!</v>
      </c>
      <c r="P31" s="27" t="e">
        <f t="shared" si="2"/>
        <v>#VALUE!</v>
      </c>
      <c r="Q31" s="27" t="e">
        <f t="shared" si="2"/>
        <v>#VALUE!</v>
      </c>
      <c r="R31" s="27" t="e">
        <f t="shared" si="2"/>
        <v>#VALUE!</v>
      </c>
      <c r="S31" s="27" t="e">
        <f t="shared" si="2"/>
        <v>#VALUE!</v>
      </c>
      <c r="T31" s="27" t="e">
        <f t="shared" si="2"/>
        <v>#VALUE!</v>
      </c>
      <c r="U31" s="27" t="e">
        <f t="shared" si="2"/>
        <v>#VALUE!</v>
      </c>
      <c r="V31" s="27" t="e">
        <f t="shared" si="2"/>
        <v>#VALUE!</v>
      </c>
      <c r="W31" s="27" t="e">
        <f t="shared" si="2"/>
        <v>#VALUE!</v>
      </c>
      <c r="X31" s="27" t="e">
        <f t="shared" si="2"/>
        <v>#VALUE!</v>
      </c>
      <c r="Y31" s="27" t="e">
        <f t="shared" ref="Y31:AM31" si="7">IF(AND(X31&lt;&gt;"",$G31&gt;=Y$21),$AN31,IF($F31=Y$21,$AN31,""))</f>
        <v>#VALUE!</v>
      </c>
      <c r="Z31" s="27" t="e">
        <f t="shared" si="7"/>
        <v>#VALUE!</v>
      </c>
      <c r="AA31" s="27" t="e">
        <f t="shared" si="7"/>
        <v>#VALUE!</v>
      </c>
      <c r="AB31" s="27" t="e">
        <f t="shared" si="7"/>
        <v>#VALUE!</v>
      </c>
      <c r="AC31" s="27" t="e">
        <f t="shared" si="7"/>
        <v>#VALUE!</v>
      </c>
      <c r="AD31" s="27" t="e">
        <f t="shared" si="7"/>
        <v>#VALUE!</v>
      </c>
      <c r="AE31" s="27" t="e">
        <f t="shared" si="7"/>
        <v>#VALUE!</v>
      </c>
      <c r="AF31" s="27" t="e">
        <f t="shared" si="7"/>
        <v>#VALUE!</v>
      </c>
      <c r="AG31" s="27" t="e">
        <f t="shared" si="7"/>
        <v>#VALUE!</v>
      </c>
      <c r="AH31" s="27" t="e">
        <f t="shared" si="7"/>
        <v>#VALUE!</v>
      </c>
      <c r="AI31" s="27" t="e">
        <f t="shared" si="7"/>
        <v>#VALUE!</v>
      </c>
      <c r="AJ31" s="27" t="e">
        <f t="shared" si="7"/>
        <v>#VALUE!</v>
      </c>
      <c r="AK31" s="27" t="e">
        <f t="shared" si="7"/>
        <v>#VALUE!</v>
      </c>
      <c r="AL31" s="27" t="e">
        <f t="shared" si="7"/>
        <v>#VALUE!</v>
      </c>
      <c r="AM31" s="27" t="e">
        <f t="shared" si="7"/>
        <v>#VALUE!</v>
      </c>
      <c r="AN31" s="2" t="str">
        <f>IF(COP!B19&lt;&gt;"",COP!B19,"")</f>
        <v/>
      </c>
      <c r="AQ31" s="30" t="s">
        <v>184</v>
      </c>
      <c r="AR31" s="27" t="str">
        <f t="shared" si="6"/>
        <v/>
      </c>
      <c r="AS31" s="27" t="e">
        <f t="shared" si="5"/>
        <v>#VALUE!</v>
      </c>
      <c r="AT31" s="27" t="e">
        <f t="shared" si="5"/>
        <v>#VALUE!</v>
      </c>
      <c r="AU31" s="27" t="e">
        <f t="shared" si="5"/>
        <v>#VALUE!</v>
      </c>
      <c r="AV31" s="27" t="e">
        <f t="shared" si="5"/>
        <v>#VALUE!</v>
      </c>
      <c r="AW31" s="27" t="e">
        <f t="shared" si="5"/>
        <v>#VALUE!</v>
      </c>
      <c r="AX31" s="27" t="e">
        <f t="shared" si="5"/>
        <v>#VALUE!</v>
      </c>
      <c r="AY31" s="27" t="e">
        <f t="shared" si="5"/>
        <v>#VALUE!</v>
      </c>
      <c r="AZ31" s="27" t="e">
        <f t="shared" si="5"/>
        <v>#VALUE!</v>
      </c>
      <c r="BA31" s="27" t="e">
        <f t="shared" si="5"/>
        <v>#VALUE!</v>
      </c>
      <c r="BB31" s="27" t="e">
        <f t="shared" si="5"/>
        <v>#VALUE!</v>
      </c>
      <c r="BC31" s="27" t="e">
        <f t="shared" si="5"/>
        <v>#VALUE!</v>
      </c>
      <c r="BD31" s="27" t="e">
        <f t="shared" si="5"/>
        <v>#VALUE!</v>
      </c>
      <c r="BE31" s="27" t="e">
        <f t="shared" si="5"/>
        <v>#VALUE!</v>
      </c>
      <c r="BF31" s="27" t="e">
        <f t="shared" si="5"/>
        <v>#VALUE!</v>
      </c>
      <c r="BG31" s="27" t="e">
        <f t="shared" si="5"/>
        <v>#VALUE!</v>
      </c>
      <c r="BH31" s="27" t="e">
        <f t="shared" si="5"/>
        <v>#VALUE!</v>
      </c>
      <c r="BI31" s="27" t="e">
        <f t="shared" si="5"/>
        <v>#VALUE!</v>
      </c>
      <c r="BJ31" s="27" t="e">
        <f t="shared" si="5"/>
        <v>#VALUE!</v>
      </c>
      <c r="BK31" s="27" t="e">
        <f t="shared" si="5"/>
        <v>#VALUE!</v>
      </c>
      <c r="BL31" s="27" t="e">
        <f t="shared" si="5"/>
        <v>#VALUE!</v>
      </c>
      <c r="BM31" s="27" t="e">
        <f t="shared" si="5"/>
        <v>#VALUE!</v>
      </c>
      <c r="BN31" s="27" t="e">
        <f t="shared" si="5"/>
        <v>#VALUE!</v>
      </c>
      <c r="BO31" s="27" t="e">
        <f t="shared" si="5"/>
        <v>#VALUE!</v>
      </c>
      <c r="BP31" s="27" t="e">
        <f t="shared" si="5"/>
        <v>#VALUE!</v>
      </c>
      <c r="BQ31" s="27" t="e">
        <f t="shared" si="5"/>
        <v>#VALUE!</v>
      </c>
      <c r="BR31" s="27" t="e">
        <f t="shared" si="5"/>
        <v>#VALUE!</v>
      </c>
      <c r="BS31" s="27" t="e">
        <f t="shared" si="5"/>
        <v>#VALUE!</v>
      </c>
      <c r="BT31" s="27" t="e">
        <f t="shared" si="5"/>
        <v>#VALUE!</v>
      </c>
      <c r="BU31" s="27" t="e">
        <f t="shared" si="5"/>
        <v>#VALUE!</v>
      </c>
      <c r="BV31" s="27" t="e">
        <f t="shared" si="5"/>
        <v>#VALUE!</v>
      </c>
      <c r="BW31" s="2" t="str">
        <f>IF(COP!C19&lt;&gt;"",COP!C19,"")</f>
        <v/>
      </c>
    </row>
    <row r="32" spans="4:75" ht="13.5" thickBot="1">
      <c r="D32" s="84" t="s">
        <v>93</v>
      </c>
      <c r="E32" s="2" t="s">
        <v>16</v>
      </c>
      <c r="F32" s="23" t="str">
        <f>IF(DAY(COP!G20)=0,"",DAY(COP!G20))</f>
        <v/>
      </c>
      <c r="G32" s="24" t="e">
        <f>IF(DAY(COP!H20)=0,"",DAY(COP!H20))</f>
        <v>#VALUE!</v>
      </c>
      <c r="H32" s="30" t="s">
        <v>185</v>
      </c>
      <c r="I32" s="28" t="str">
        <f t="shared" si="4"/>
        <v/>
      </c>
      <c r="J32" s="27" t="e">
        <f t="shared" ref="J32:AM40" si="8">IF(AND(I32&lt;&gt;"",$G32&gt;=J$21),$AN32,IF($F32=J$21,$AN32,""))</f>
        <v>#VALUE!</v>
      </c>
      <c r="K32" s="27" t="e">
        <f t="shared" si="8"/>
        <v>#VALUE!</v>
      </c>
      <c r="L32" s="27" t="e">
        <f t="shared" si="8"/>
        <v>#VALUE!</v>
      </c>
      <c r="M32" s="27" t="e">
        <f t="shared" si="8"/>
        <v>#VALUE!</v>
      </c>
      <c r="N32" s="27" t="e">
        <f t="shared" si="8"/>
        <v>#VALUE!</v>
      </c>
      <c r="O32" s="27" t="e">
        <f t="shared" si="8"/>
        <v>#VALUE!</v>
      </c>
      <c r="P32" s="27" t="e">
        <f t="shared" si="8"/>
        <v>#VALUE!</v>
      </c>
      <c r="Q32" s="27" t="e">
        <f t="shared" si="8"/>
        <v>#VALUE!</v>
      </c>
      <c r="R32" s="27" t="e">
        <f t="shared" si="8"/>
        <v>#VALUE!</v>
      </c>
      <c r="S32" s="27" t="e">
        <f t="shared" si="8"/>
        <v>#VALUE!</v>
      </c>
      <c r="T32" s="27" t="e">
        <f t="shared" si="8"/>
        <v>#VALUE!</v>
      </c>
      <c r="U32" s="27" t="e">
        <f t="shared" si="8"/>
        <v>#VALUE!</v>
      </c>
      <c r="V32" s="27" t="e">
        <f t="shared" si="8"/>
        <v>#VALUE!</v>
      </c>
      <c r="W32" s="27" t="e">
        <f t="shared" si="8"/>
        <v>#VALUE!</v>
      </c>
      <c r="X32" s="27" t="e">
        <f t="shared" si="8"/>
        <v>#VALUE!</v>
      </c>
      <c r="Y32" s="27" t="e">
        <f t="shared" si="8"/>
        <v>#VALUE!</v>
      </c>
      <c r="Z32" s="27" t="e">
        <f t="shared" si="8"/>
        <v>#VALUE!</v>
      </c>
      <c r="AA32" s="27" t="e">
        <f t="shared" si="8"/>
        <v>#VALUE!</v>
      </c>
      <c r="AB32" s="27" t="e">
        <f t="shared" si="8"/>
        <v>#VALUE!</v>
      </c>
      <c r="AC32" s="27" t="e">
        <f t="shared" si="8"/>
        <v>#VALUE!</v>
      </c>
      <c r="AD32" s="27" t="e">
        <f t="shared" si="8"/>
        <v>#VALUE!</v>
      </c>
      <c r="AE32" s="27" t="e">
        <f t="shared" si="8"/>
        <v>#VALUE!</v>
      </c>
      <c r="AF32" s="27" t="e">
        <f t="shared" si="8"/>
        <v>#VALUE!</v>
      </c>
      <c r="AG32" s="27" t="e">
        <f t="shared" si="8"/>
        <v>#VALUE!</v>
      </c>
      <c r="AH32" s="27" t="e">
        <f t="shared" si="8"/>
        <v>#VALUE!</v>
      </c>
      <c r="AI32" s="27" t="e">
        <f t="shared" si="8"/>
        <v>#VALUE!</v>
      </c>
      <c r="AJ32" s="27" t="e">
        <f t="shared" si="8"/>
        <v>#VALUE!</v>
      </c>
      <c r="AK32" s="27" t="e">
        <f t="shared" si="8"/>
        <v>#VALUE!</v>
      </c>
      <c r="AL32" s="27" t="e">
        <f t="shared" si="8"/>
        <v>#VALUE!</v>
      </c>
      <c r="AM32" s="27" t="e">
        <f t="shared" si="8"/>
        <v>#VALUE!</v>
      </c>
      <c r="AN32" s="2" t="str">
        <f>IF(COP!B20&lt;&gt;"",COP!B20,"")</f>
        <v/>
      </c>
      <c r="AQ32" s="30" t="s">
        <v>185</v>
      </c>
      <c r="AR32" s="27" t="str">
        <f t="shared" si="6"/>
        <v/>
      </c>
      <c r="AS32" s="27" t="e">
        <f t="shared" si="5"/>
        <v>#VALUE!</v>
      </c>
      <c r="AT32" s="27" t="e">
        <f t="shared" si="5"/>
        <v>#VALUE!</v>
      </c>
      <c r="AU32" s="27" t="e">
        <f t="shared" si="5"/>
        <v>#VALUE!</v>
      </c>
      <c r="AV32" s="27" t="e">
        <f t="shared" si="5"/>
        <v>#VALUE!</v>
      </c>
      <c r="AW32" s="27" t="e">
        <f t="shared" si="5"/>
        <v>#VALUE!</v>
      </c>
      <c r="AX32" s="27" t="e">
        <f t="shared" si="5"/>
        <v>#VALUE!</v>
      </c>
      <c r="AY32" s="27" t="e">
        <f t="shared" si="5"/>
        <v>#VALUE!</v>
      </c>
      <c r="AZ32" s="27" t="e">
        <f t="shared" si="5"/>
        <v>#VALUE!</v>
      </c>
      <c r="BA32" s="27" t="e">
        <f t="shared" si="5"/>
        <v>#VALUE!</v>
      </c>
      <c r="BB32" s="27" t="e">
        <f t="shared" si="5"/>
        <v>#VALUE!</v>
      </c>
      <c r="BC32" s="27" t="e">
        <f t="shared" si="5"/>
        <v>#VALUE!</v>
      </c>
      <c r="BD32" s="27" t="e">
        <f t="shared" si="5"/>
        <v>#VALUE!</v>
      </c>
      <c r="BE32" s="27" t="e">
        <f t="shared" si="5"/>
        <v>#VALUE!</v>
      </c>
      <c r="BF32" s="27" t="e">
        <f t="shared" si="5"/>
        <v>#VALUE!</v>
      </c>
      <c r="BG32" s="27" t="e">
        <f t="shared" si="5"/>
        <v>#VALUE!</v>
      </c>
      <c r="BH32" s="27" t="e">
        <f t="shared" ref="BH32:BV32" si="9">IF(AND(BG32&lt;&gt;"",$G32&gt;=BH$21),$BW32,IF($F32=BH$21,$BW32,""))</f>
        <v>#VALUE!</v>
      </c>
      <c r="BI32" s="27" t="e">
        <f t="shared" si="9"/>
        <v>#VALUE!</v>
      </c>
      <c r="BJ32" s="27" t="e">
        <f t="shared" si="9"/>
        <v>#VALUE!</v>
      </c>
      <c r="BK32" s="27" t="e">
        <f t="shared" si="9"/>
        <v>#VALUE!</v>
      </c>
      <c r="BL32" s="27" t="e">
        <f t="shared" si="9"/>
        <v>#VALUE!</v>
      </c>
      <c r="BM32" s="27" t="e">
        <f t="shared" si="9"/>
        <v>#VALUE!</v>
      </c>
      <c r="BN32" s="27" t="e">
        <f t="shared" si="9"/>
        <v>#VALUE!</v>
      </c>
      <c r="BO32" s="27" t="e">
        <f t="shared" si="9"/>
        <v>#VALUE!</v>
      </c>
      <c r="BP32" s="27" t="e">
        <f t="shared" si="9"/>
        <v>#VALUE!</v>
      </c>
      <c r="BQ32" s="27" t="e">
        <f t="shared" si="9"/>
        <v>#VALUE!</v>
      </c>
      <c r="BR32" s="27" t="e">
        <f t="shared" si="9"/>
        <v>#VALUE!</v>
      </c>
      <c r="BS32" s="27" t="e">
        <f t="shared" si="9"/>
        <v>#VALUE!</v>
      </c>
      <c r="BT32" s="27" t="e">
        <f t="shared" si="9"/>
        <v>#VALUE!</v>
      </c>
      <c r="BU32" s="27" t="e">
        <f t="shared" si="9"/>
        <v>#VALUE!</v>
      </c>
      <c r="BV32" s="27" t="e">
        <f t="shared" si="9"/>
        <v>#VALUE!</v>
      </c>
      <c r="BW32" s="2" t="str">
        <f>IF(COP!C20&lt;&gt;"",COP!C20,"")</f>
        <v/>
      </c>
    </row>
    <row r="33" spans="4:75" ht="13.5" thickBot="1">
      <c r="D33" s="84" t="s">
        <v>91</v>
      </c>
      <c r="E33" s="2" t="s">
        <v>17</v>
      </c>
      <c r="F33" s="23" t="str">
        <f>IF(DAY(COP!G21)=0,"",DAY(COP!G21))</f>
        <v/>
      </c>
      <c r="G33" s="24" t="str">
        <f>IF(DAY(COP!H21)=0,"",DAY(COP!H21))</f>
        <v/>
      </c>
      <c r="H33" s="30" t="s">
        <v>186</v>
      </c>
      <c r="I33" s="28" t="str">
        <f t="shared" si="4"/>
        <v/>
      </c>
      <c r="J33" s="27" t="str">
        <f t="shared" si="8"/>
        <v/>
      </c>
      <c r="K33" s="27" t="str">
        <f t="shared" si="8"/>
        <v/>
      </c>
      <c r="L33" s="27" t="str">
        <f t="shared" si="8"/>
        <v/>
      </c>
      <c r="M33" s="27" t="str">
        <f t="shared" si="8"/>
        <v/>
      </c>
      <c r="N33" s="27" t="str">
        <f t="shared" si="8"/>
        <v/>
      </c>
      <c r="O33" s="27" t="str">
        <f t="shared" si="8"/>
        <v/>
      </c>
      <c r="P33" s="27" t="str">
        <f t="shared" si="8"/>
        <v/>
      </c>
      <c r="Q33" s="27" t="str">
        <f t="shared" si="8"/>
        <v/>
      </c>
      <c r="R33" s="27" t="str">
        <f t="shared" si="8"/>
        <v/>
      </c>
      <c r="S33" s="27" t="str">
        <f t="shared" si="8"/>
        <v/>
      </c>
      <c r="T33" s="27" t="str">
        <f t="shared" si="8"/>
        <v/>
      </c>
      <c r="U33" s="27" t="str">
        <f t="shared" si="8"/>
        <v/>
      </c>
      <c r="V33" s="27" t="str">
        <f t="shared" si="8"/>
        <v/>
      </c>
      <c r="W33" s="27" t="str">
        <f t="shared" si="8"/>
        <v/>
      </c>
      <c r="X33" s="27" t="str">
        <f t="shared" si="8"/>
        <v/>
      </c>
      <c r="Y33" s="27" t="str">
        <f t="shared" si="8"/>
        <v/>
      </c>
      <c r="Z33" s="27" t="str">
        <f t="shared" si="8"/>
        <v/>
      </c>
      <c r="AA33" s="27" t="str">
        <f t="shared" si="8"/>
        <v/>
      </c>
      <c r="AB33" s="27" t="str">
        <f t="shared" si="8"/>
        <v/>
      </c>
      <c r="AC33" s="27" t="str">
        <f t="shared" si="8"/>
        <v/>
      </c>
      <c r="AD33" s="27" t="str">
        <f t="shared" si="8"/>
        <v/>
      </c>
      <c r="AE33" s="27" t="str">
        <f t="shared" si="8"/>
        <v/>
      </c>
      <c r="AF33" s="27" t="str">
        <f t="shared" si="8"/>
        <v/>
      </c>
      <c r="AG33" s="27" t="str">
        <f t="shared" si="8"/>
        <v/>
      </c>
      <c r="AH33" s="27" t="str">
        <f t="shared" si="8"/>
        <v/>
      </c>
      <c r="AI33" s="27" t="str">
        <f t="shared" si="8"/>
        <v/>
      </c>
      <c r="AJ33" s="27" t="str">
        <f t="shared" si="8"/>
        <v/>
      </c>
      <c r="AK33" s="27" t="str">
        <f t="shared" si="8"/>
        <v/>
      </c>
      <c r="AL33" s="27" t="str">
        <f t="shared" si="8"/>
        <v/>
      </c>
      <c r="AM33" s="27" t="str">
        <f t="shared" si="8"/>
        <v/>
      </c>
      <c r="AN33" s="2" t="str">
        <f>IF(COP!B21&lt;&gt;"",COP!B21,"")</f>
        <v/>
      </c>
      <c r="AQ33" s="30" t="s">
        <v>186</v>
      </c>
      <c r="AR33" s="27" t="str">
        <f t="shared" si="6"/>
        <v/>
      </c>
      <c r="AS33" s="27" t="str">
        <f t="shared" ref="AS33:BV41" si="10">IF(AND(AR33&lt;&gt;"",$G33&gt;=AS$21),$BW33,IF($F33=AS$21,$BW33,""))</f>
        <v/>
      </c>
      <c r="AT33" s="27" t="str">
        <f t="shared" si="10"/>
        <v/>
      </c>
      <c r="AU33" s="27" t="str">
        <f t="shared" si="10"/>
        <v/>
      </c>
      <c r="AV33" s="27" t="str">
        <f t="shared" si="10"/>
        <v/>
      </c>
      <c r="AW33" s="27" t="str">
        <f t="shared" si="10"/>
        <v/>
      </c>
      <c r="AX33" s="27" t="str">
        <f t="shared" si="10"/>
        <v/>
      </c>
      <c r="AY33" s="27" t="str">
        <f t="shared" si="10"/>
        <v/>
      </c>
      <c r="AZ33" s="27" t="str">
        <f t="shared" si="10"/>
        <v/>
      </c>
      <c r="BA33" s="27" t="str">
        <f t="shared" si="10"/>
        <v/>
      </c>
      <c r="BB33" s="27" t="str">
        <f t="shared" si="10"/>
        <v/>
      </c>
      <c r="BC33" s="27" t="str">
        <f t="shared" si="10"/>
        <v/>
      </c>
      <c r="BD33" s="27" t="str">
        <f t="shared" si="10"/>
        <v/>
      </c>
      <c r="BE33" s="27" t="str">
        <f t="shared" si="10"/>
        <v/>
      </c>
      <c r="BF33" s="27" t="str">
        <f t="shared" si="10"/>
        <v/>
      </c>
      <c r="BG33" s="27" t="str">
        <f t="shared" si="10"/>
        <v/>
      </c>
      <c r="BH33" s="27" t="str">
        <f t="shared" si="10"/>
        <v/>
      </c>
      <c r="BI33" s="27" t="str">
        <f t="shared" si="10"/>
        <v/>
      </c>
      <c r="BJ33" s="27" t="str">
        <f t="shared" si="10"/>
        <v/>
      </c>
      <c r="BK33" s="27" t="str">
        <f t="shared" si="10"/>
        <v/>
      </c>
      <c r="BL33" s="27" t="str">
        <f t="shared" si="10"/>
        <v/>
      </c>
      <c r="BM33" s="27" t="str">
        <f t="shared" si="10"/>
        <v/>
      </c>
      <c r="BN33" s="27" t="str">
        <f t="shared" si="10"/>
        <v/>
      </c>
      <c r="BO33" s="27" t="str">
        <f t="shared" si="10"/>
        <v/>
      </c>
      <c r="BP33" s="27" t="str">
        <f t="shared" si="10"/>
        <v/>
      </c>
      <c r="BQ33" s="27" t="str">
        <f t="shared" si="10"/>
        <v/>
      </c>
      <c r="BR33" s="27" t="str">
        <f t="shared" si="10"/>
        <v/>
      </c>
      <c r="BS33" s="27" t="str">
        <f t="shared" si="10"/>
        <v/>
      </c>
      <c r="BT33" s="27" t="str">
        <f t="shared" si="10"/>
        <v/>
      </c>
      <c r="BU33" s="27" t="str">
        <f t="shared" si="10"/>
        <v/>
      </c>
      <c r="BV33" s="27" t="str">
        <f t="shared" si="10"/>
        <v/>
      </c>
      <c r="BW33" s="2" t="str">
        <f>IF(COP!C21&lt;&gt;"",COP!C21,"")</f>
        <v/>
      </c>
    </row>
    <row r="34" spans="4:75" ht="13.5" thickBot="1">
      <c r="D34" s="84" t="s">
        <v>90</v>
      </c>
      <c r="E34" s="2" t="s">
        <v>18</v>
      </c>
      <c r="F34" s="23" t="str">
        <f>IF(DAY(COP!G22)=0,"",DAY(COP!G22))</f>
        <v/>
      </c>
      <c r="G34" s="24" t="str">
        <f>IF(DAY(COP!H22)=0,"",DAY(COP!H22))</f>
        <v/>
      </c>
      <c r="H34" s="30" t="s">
        <v>187</v>
      </c>
      <c r="I34" s="28" t="str">
        <f t="shared" si="4"/>
        <v/>
      </c>
      <c r="J34" s="27" t="str">
        <f t="shared" si="8"/>
        <v/>
      </c>
      <c r="K34" s="27" t="str">
        <f t="shared" si="8"/>
        <v/>
      </c>
      <c r="L34" s="27" t="str">
        <f t="shared" si="8"/>
        <v/>
      </c>
      <c r="M34" s="27" t="str">
        <f t="shared" si="8"/>
        <v/>
      </c>
      <c r="N34" s="27" t="str">
        <f t="shared" si="8"/>
        <v/>
      </c>
      <c r="O34" s="27" t="str">
        <f t="shared" si="8"/>
        <v/>
      </c>
      <c r="P34" s="27" t="str">
        <f t="shared" si="8"/>
        <v/>
      </c>
      <c r="Q34" s="27" t="str">
        <f t="shared" si="8"/>
        <v/>
      </c>
      <c r="R34" s="27" t="str">
        <f t="shared" si="8"/>
        <v/>
      </c>
      <c r="S34" s="27" t="str">
        <f t="shared" si="8"/>
        <v/>
      </c>
      <c r="T34" s="27" t="str">
        <f t="shared" si="8"/>
        <v/>
      </c>
      <c r="U34" s="27" t="str">
        <f t="shared" si="8"/>
        <v/>
      </c>
      <c r="V34" s="27" t="str">
        <f t="shared" si="8"/>
        <v/>
      </c>
      <c r="W34" s="27" t="str">
        <f t="shared" si="8"/>
        <v/>
      </c>
      <c r="X34" s="27" t="str">
        <f t="shared" si="8"/>
        <v/>
      </c>
      <c r="Y34" s="27" t="str">
        <f t="shared" si="8"/>
        <v/>
      </c>
      <c r="Z34" s="27" t="str">
        <f t="shared" si="8"/>
        <v/>
      </c>
      <c r="AA34" s="27" t="str">
        <f t="shared" si="8"/>
        <v/>
      </c>
      <c r="AB34" s="27" t="str">
        <f t="shared" si="8"/>
        <v/>
      </c>
      <c r="AC34" s="27" t="str">
        <f t="shared" si="8"/>
        <v/>
      </c>
      <c r="AD34" s="27" t="str">
        <f t="shared" si="8"/>
        <v/>
      </c>
      <c r="AE34" s="27" t="str">
        <f t="shared" si="8"/>
        <v/>
      </c>
      <c r="AF34" s="27" t="str">
        <f t="shared" si="8"/>
        <v/>
      </c>
      <c r="AG34" s="27" t="str">
        <f t="shared" si="8"/>
        <v/>
      </c>
      <c r="AH34" s="27" t="str">
        <f t="shared" si="8"/>
        <v/>
      </c>
      <c r="AI34" s="27" t="str">
        <f t="shared" si="8"/>
        <v/>
      </c>
      <c r="AJ34" s="27" t="str">
        <f t="shared" si="8"/>
        <v/>
      </c>
      <c r="AK34" s="27" t="str">
        <f t="shared" si="8"/>
        <v/>
      </c>
      <c r="AL34" s="27" t="str">
        <f t="shared" si="8"/>
        <v/>
      </c>
      <c r="AM34" s="27" t="str">
        <f t="shared" si="8"/>
        <v/>
      </c>
      <c r="AN34" s="2" t="str">
        <f>IF(COP!B22&lt;&gt;"",COP!B22,"")</f>
        <v/>
      </c>
      <c r="AQ34" s="30" t="s">
        <v>187</v>
      </c>
      <c r="AR34" s="27" t="str">
        <f t="shared" si="6"/>
        <v/>
      </c>
      <c r="AS34" s="27" t="str">
        <f t="shared" si="10"/>
        <v/>
      </c>
      <c r="AT34" s="27" t="str">
        <f t="shared" si="10"/>
        <v/>
      </c>
      <c r="AU34" s="27" t="str">
        <f t="shared" si="10"/>
        <v/>
      </c>
      <c r="AV34" s="27" t="str">
        <f t="shared" si="10"/>
        <v/>
      </c>
      <c r="AW34" s="27" t="str">
        <f t="shared" si="10"/>
        <v/>
      </c>
      <c r="AX34" s="27" t="str">
        <f t="shared" si="10"/>
        <v/>
      </c>
      <c r="AY34" s="27" t="str">
        <f t="shared" si="10"/>
        <v/>
      </c>
      <c r="AZ34" s="27" t="str">
        <f t="shared" si="10"/>
        <v/>
      </c>
      <c r="BA34" s="27" t="str">
        <f t="shared" si="10"/>
        <v/>
      </c>
      <c r="BB34" s="27" t="str">
        <f t="shared" si="10"/>
        <v/>
      </c>
      <c r="BC34" s="27" t="str">
        <f t="shared" si="10"/>
        <v/>
      </c>
      <c r="BD34" s="27" t="str">
        <f t="shared" si="10"/>
        <v/>
      </c>
      <c r="BE34" s="27" t="str">
        <f t="shared" si="10"/>
        <v/>
      </c>
      <c r="BF34" s="27" t="str">
        <f t="shared" si="10"/>
        <v/>
      </c>
      <c r="BG34" s="27" t="str">
        <f t="shared" si="10"/>
        <v/>
      </c>
      <c r="BH34" s="27" t="str">
        <f t="shared" si="10"/>
        <v/>
      </c>
      <c r="BI34" s="27" t="str">
        <f t="shared" si="10"/>
        <v/>
      </c>
      <c r="BJ34" s="27" t="str">
        <f t="shared" si="10"/>
        <v/>
      </c>
      <c r="BK34" s="27" t="str">
        <f t="shared" si="10"/>
        <v/>
      </c>
      <c r="BL34" s="27" t="str">
        <f t="shared" si="10"/>
        <v/>
      </c>
      <c r="BM34" s="27" t="str">
        <f t="shared" si="10"/>
        <v/>
      </c>
      <c r="BN34" s="27" t="str">
        <f t="shared" si="10"/>
        <v/>
      </c>
      <c r="BO34" s="27" t="str">
        <f t="shared" si="10"/>
        <v/>
      </c>
      <c r="BP34" s="27" t="str">
        <f t="shared" si="10"/>
        <v/>
      </c>
      <c r="BQ34" s="27" t="str">
        <f t="shared" si="10"/>
        <v/>
      </c>
      <c r="BR34" s="27" t="str">
        <f t="shared" si="10"/>
        <v/>
      </c>
      <c r="BS34" s="27" t="str">
        <f t="shared" si="10"/>
        <v/>
      </c>
      <c r="BT34" s="27" t="str">
        <f t="shared" si="10"/>
        <v/>
      </c>
      <c r="BU34" s="27" t="str">
        <f t="shared" si="10"/>
        <v/>
      </c>
      <c r="BV34" s="27" t="str">
        <f t="shared" si="10"/>
        <v/>
      </c>
      <c r="BW34" s="2" t="str">
        <f>IF(COP!C22&lt;&gt;"",COP!C22,"")</f>
        <v/>
      </c>
    </row>
    <row r="35" spans="4:75" ht="13.5" thickBot="1">
      <c r="D35" s="84" t="s">
        <v>88</v>
      </c>
      <c r="E35" s="2" t="s">
        <v>19</v>
      </c>
      <c r="F35" s="23" t="str">
        <f>IF(DAY(COP!G23)=0,"",DAY(COP!G23))</f>
        <v/>
      </c>
      <c r="G35" s="24" t="str">
        <f>IF(DAY(COP!H23)=0,"",DAY(COP!H23))</f>
        <v/>
      </c>
      <c r="H35" s="30" t="s">
        <v>188</v>
      </c>
      <c r="I35" s="28" t="str">
        <f t="shared" si="4"/>
        <v/>
      </c>
      <c r="J35" s="27" t="str">
        <f t="shared" si="8"/>
        <v/>
      </c>
      <c r="K35" s="27" t="str">
        <f t="shared" si="8"/>
        <v/>
      </c>
      <c r="L35" s="27" t="str">
        <f t="shared" si="8"/>
        <v/>
      </c>
      <c r="M35" s="27" t="str">
        <f t="shared" si="8"/>
        <v/>
      </c>
      <c r="N35" s="27" t="str">
        <f t="shared" si="8"/>
        <v/>
      </c>
      <c r="O35" s="27" t="str">
        <f t="shared" si="8"/>
        <v/>
      </c>
      <c r="P35" s="27" t="str">
        <f t="shared" si="8"/>
        <v/>
      </c>
      <c r="Q35" s="27" t="str">
        <f t="shared" si="8"/>
        <v/>
      </c>
      <c r="R35" s="27" t="str">
        <f t="shared" si="8"/>
        <v/>
      </c>
      <c r="S35" s="27" t="str">
        <f t="shared" si="8"/>
        <v/>
      </c>
      <c r="T35" s="27" t="str">
        <f t="shared" si="8"/>
        <v/>
      </c>
      <c r="U35" s="27" t="str">
        <f t="shared" si="8"/>
        <v/>
      </c>
      <c r="V35" s="27" t="str">
        <f t="shared" si="8"/>
        <v/>
      </c>
      <c r="W35" s="27" t="str">
        <f t="shared" si="8"/>
        <v/>
      </c>
      <c r="X35" s="27" t="str">
        <f t="shared" si="8"/>
        <v/>
      </c>
      <c r="Y35" s="27" t="str">
        <f t="shared" si="8"/>
        <v/>
      </c>
      <c r="Z35" s="27" t="str">
        <f t="shared" si="8"/>
        <v/>
      </c>
      <c r="AA35" s="27" t="str">
        <f t="shared" si="8"/>
        <v/>
      </c>
      <c r="AB35" s="27" t="str">
        <f t="shared" si="8"/>
        <v/>
      </c>
      <c r="AC35" s="27" t="str">
        <f t="shared" si="8"/>
        <v/>
      </c>
      <c r="AD35" s="27" t="str">
        <f t="shared" si="8"/>
        <v/>
      </c>
      <c r="AE35" s="27" t="str">
        <f t="shared" si="8"/>
        <v/>
      </c>
      <c r="AF35" s="27" t="str">
        <f t="shared" si="8"/>
        <v/>
      </c>
      <c r="AG35" s="27" t="str">
        <f t="shared" si="8"/>
        <v/>
      </c>
      <c r="AH35" s="27" t="str">
        <f t="shared" si="8"/>
        <v/>
      </c>
      <c r="AI35" s="27" t="str">
        <f t="shared" si="8"/>
        <v/>
      </c>
      <c r="AJ35" s="27" t="str">
        <f t="shared" si="8"/>
        <v/>
      </c>
      <c r="AK35" s="27" t="str">
        <f t="shared" si="8"/>
        <v/>
      </c>
      <c r="AL35" s="27" t="str">
        <f t="shared" si="8"/>
        <v/>
      </c>
      <c r="AM35" s="27" t="str">
        <f t="shared" si="8"/>
        <v/>
      </c>
      <c r="AN35" s="2" t="str">
        <f>IF(COP!B23&lt;&gt;"",COP!B23,"")</f>
        <v/>
      </c>
      <c r="AQ35" s="30" t="s">
        <v>188</v>
      </c>
      <c r="AR35" s="27" t="str">
        <f t="shared" si="6"/>
        <v/>
      </c>
      <c r="AS35" s="27" t="str">
        <f t="shared" si="10"/>
        <v/>
      </c>
      <c r="AT35" s="27" t="str">
        <f t="shared" si="10"/>
        <v/>
      </c>
      <c r="AU35" s="27" t="str">
        <f t="shared" si="10"/>
        <v/>
      </c>
      <c r="AV35" s="27" t="str">
        <f t="shared" si="10"/>
        <v/>
      </c>
      <c r="AW35" s="27" t="str">
        <f t="shared" si="10"/>
        <v/>
      </c>
      <c r="AX35" s="27" t="str">
        <f t="shared" si="10"/>
        <v/>
      </c>
      <c r="AY35" s="27" t="str">
        <f t="shared" si="10"/>
        <v/>
      </c>
      <c r="AZ35" s="27" t="str">
        <f t="shared" si="10"/>
        <v/>
      </c>
      <c r="BA35" s="27" t="str">
        <f t="shared" si="10"/>
        <v/>
      </c>
      <c r="BB35" s="27" t="str">
        <f t="shared" si="10"/>
        <v/>
      </c>
      <c r="BC35" s="27" t="str">
        <f t="shared" si="10"/>
        <v/>
      </c>
      <c r="BD35" s="27" t="str">
        <f t="shared" si="10"/>
        <v/>
      </c>
      <c r="BE35" s="27" t="str">
        <f t="shared" si="10"/>
        <v/>
      </c>
      <c r="BF35" s="27" t="str">
        <f t="shared" si="10"/>
        <v/>
      </c>
      <c r="BG35" s="27" t="str">
        <f t="shared" si="10"/>
        <v/>
      </c>
      <c r="BH35" s="27" t="str">
        <f t="shared" si="10"/>
        <v/>
      </c>
      <c r="BI35" s="27" t="str">
        <f t="shared" si="10"/>
        <v/>
      </c>
      <c r="BJ35" s="27" t="str">
        <f t="shared" si="10"/>
        <v/>
      </c>
      <c r="BK35" s="27" t="str">
        <f t="shared" si="10"/>
        <v/>
      </c>
      <c r="BL35" s="27" t="str">
        <f t="shared" si="10"/>
        <v/>
      </c>
      <c r="BM35" s="27" t="str">
        <f t="shared" si="10"/>
        <v/>
      </c>
      <c r="BN35" s="27" t="str">
        <f t="shared" si="10"/>
        <v/>
      </c>
      <c r="BO35" s="27" t="str">
        <f t="shared" si="10"/>
        <v/>
      </c>
      <c r="BP35" s="27" t="str">
        <f t="shared" si="10"/>
        <v/>
      </c>
      <c r="BQ35" s="27" t="str">
        <f t="shared" si="10"/>
        <v/>
      </c>
      <c r="BR35" s="27" t="str">
        <f t="shared" si="10"/>
        <v/>
      </c>
      <c r="BS35" s="27" t="str">
        <f t="shared" si="10"/>
        <v/>
      </c>
      <c r="BT35" s="27" t="str">
        <f t="shared" si="10"/>
        <v/>
      </c>
      <c r="BU35" s="27" t="str">
        <f t="shared" si="10"/>
        <v/>
      </c>
      <c r="BV35" s="27" t="str">
        <f t="shared" si="10"/>
        <v/>
      </c>
      <c r="BW35" s="2" t="str">
        <f>IF(COP!C23&lt;&gt;"",COP!C23,"")</f>
        <v/>
      </c>
    </row>
    <row r="36" spans="4:75" ht="13.5" thickBot="1">
      <c r="D36" s="84" t="s">
        <v>119</v>
      </c>
      <c r="E36" s="2" t="s">
        <v>20</v>
      </c>
      <c r="F36" s="23" t="str">
        <f>IF(DAY(COP!G24)=0,"",DAY(COP!G24))</f>
        <v/>
      </c>
      <c r="G36" s="24" t="str">
        <f>IF(DAY(COP!H24)=0,"",DAY(COP!H24))</f>
        <v/>
      </c>
      <c r="H36" s="30" t="s">
        <v>189</v>
      </c>
      <c r="I36" s="28" t="str">
        <f t="shared" si="4"/>
        <v/>
      </c>
      <c r="J36" s="27" t="str">
        <f t="shared" si="8"/>
        <v/>
      </c>
      <c r="K36" s="27" t="str">
        <f t="shared" si="8"/>
        <v/>
      </c>
      <c r="L36" s="27" t="str">
        <f t="shared" si="8"/>
        <v/>
      </c>
      <c r="M36" s="27" t="str">
        <f t="shared" si="8"/>
        <v/>
      </c>
      <c r="N36" s="27" t="str">
        <f t="shared" si="8"/>
        <v/>
      </c>
      <c r="O36" s="27" t="str">
        <f t="shared" si="8"/>
        <v/>
      </c>
      <c r="P36" s="27" t="str">
        <f t="shared" si="8"/>
        <v/>
      </c>
      <c r="Q36" s="27" t="str">
        <f t="shared" si="8"/>
        <v/>
      </c>
      <c r="R36" s="27" t="str">
        <f t="shared" si="8"/>
        <v/>
      </c>
      <c r="S36" s="27" t="str">
        <f t="shared" si="8"/>
        <v/>
      </c>
      <c r="T36" s="27" t="str">
        <f t="shared" si="8"/>
        <v/>
      </c>
      <c r="U36" s="27" t="str">
        <f t="shared" si="8"/>
        <v/>
      </c>
      <c r="V36" s="27" t="str">
        <f t="shared" si="8"/>
        <v/>
      </c>
      <c r="W36" s="27" t="str">
        <f t="shared" si="8"/>
        <v/>
      </c>
      <c r="X36" s="27" t="str">
        <f t="shared" si="8"/>
        <v/>
      </c>
      <c r="Y36" s="27" t="str">
        <f t="shared" si="8"/>
        <v/>
      </c>
      <c r="Z36" s="27" t="str">
        <f t="shared" si="8"/>
        <v/>
      </c>
      <c r="AA36" s="27" t="str">
        <f t="shared" si="8"/>
        <v/>
      </c>
      <c r="AB36" s="27" t="str">
        <f t="shared" si="8"/>
        <v/>
      </c>
      <c r="AC36" s="27" t="str">
        <f t="shared" si="8"/>
        <v/>
      </c>
      <c r="AD36" s="27" t="str">
        <f t="shared" si="8"/>
        <v/>
      </c>
      <c r="AE36" s="27" t="str">
        <f t="shared" si="8"/>
        <v/>
      </c>
      <c r="AF36" s="27" t="str">
        <f t="shared" si="8"/>
        <v/>
      </c>
      <c r="AG36" s="27" t="str">
        <f t="shared" si="8"/>
        <v/>
      </c>
      <c r="AH36" s="27" t="str">
        <f t="shared" si="8"/>
        <v/>
      </c>
      <c r="AI36" s="27" t="str">
        <f t="shared" si="8"/>
        <v/>
      </c>
      <c r="AJ36" s="27" t="str">
        <f t="shared" si="8"/>
        <v/>
      </c>
      <c r="AK36" s="27" t="str">
        <f t="shared" si="8"/>
        <v/>
      </c>
      <c r="AL36" s="27" t="str">
        <f t="shared" si="8"/>
        <v/>
      </c>
      <c r="AM36" s="27" t="str">
        <f t="shared" si="8"/>
        <v/>
      </c>
      <c r="AN36" s="2" t="str">
        <f>IF(COP!B24&lt;&gt;"",COP!B24,"")</f>
        <v/>
      </c>
      <c r="AQ36" s="30" t="s">
        <v>189</v>
      </c>
      <c r="AR36" s="27" t="str">
        <f t="shared" si="6"/>
        <v/>
      </c>
      <c r="AS36" s="27" t="str">
        <f t="shared" si="10"/>
        <v/>
      </c>
      <c r="AT36" s="27" t="str">
        <f t="shared" si="10"/>
        <v/>
      </c>
      <c r="AU36" s="27" t="str">
        <f t="shared" si="10"/>
        <v/>
      </c>
      <c r="AV36" s="27" t="str">
        <f t="shared" si="10"/>
        <v/>
      </c>
      <c r="AW36" s="27" t="str">
        <f t="shared" si="10"/>
        <v/>
      </c>
      <c r="AX36" s="27" t="str">
        <f t="shared" si="10"/>
        <v/>
      </c>
      <c r="AY36" s="27" t="str">
        <f t="shared" si="10"/>
        <v/>
      </c>
      <c r="AZ36" s="27" t="str">
        <f t="shared" si="10"/>
        <v/>
      </c>
      <c r="BA36" s="27" t="str">
        <f t="shared" si="10"/>
        <v/>
      </c>
      <c r="BB36" s="27" t="str">
        <f t="shared" si="10"/>
        <v/>
      </c>
      <c r="BC36" s="27" t="str">
        <f t="shared" si="10"/>
        <v/>
      </c>
      <c r="BD36" s="27" t="str">
        <f t="shared" si="10"/>
        <v/>
      </c>
      <c r="BE36" s="27" t="str">
        <f t="shared" si="10"/>
        <v/>
      </c>
      <c r="BF36" s="27" t="str">
        <f t="shared" si="10"/>
        <v/>
      </c>
      <c r="BG36" s="27" t="str">
        <f t="shared" si="10"/>
        <v/>
      </c>
      <c r="BH36" s="27" t="str">
        <f t="shared" si="10"/>
        <v/>
      </c>
      <c r="BI36" s="27" t="str">
        <f t="shared" si="10"/>
        <v/>
      </c>
      <c r="BJ36" s="27" t="str">
        <f t="shared" si="10"/>
        <v/>
      </c>
      <c r="BK36" s="27" t="str">
        <f t="shared" si="10"/>
        <v/>
      </c>
      <c r="BL36" s="27" t="str">
        <f t="shared" si="10"/>
        <v/>
      </c>
      <c r="BM36" s="27" t="str">
        <f t="shared" si="10"/>
        <v/>
      </c>
      <c r="BN36" s="27" t="str">
        <f t="shared" si="10"/>
        <v/>
      </c>
      <c r="BO36" s="27" t="str">
        <f t="shared" si="10"/>
        <v/>
      </c>
      <c r="BP36" s="27" t="str">
        <f t="shared" si="10"/>
        <v/>
      </c>
      <c r="BQ36" s="27" t="str">
        <f t="shared" si="10"/>
        <v/>
      </c>
      <c r="BR36" s="27" t="str">
        <f t="shared" si="10"/>
        <v/>
      </c>
      <c r="BS36" s="27" t="str">
        <f t="shared" si="10"/>
        <v/>
      </c>
      <c r="BT36" s="27" t="str">
        <f t="shared" si="10"/>
        <v/>
      </c>
      <c r="BU36" s="27" t="str">
        <f t="shared" si="10"/>
        <v/>
      </c>
      <c r="BV36" s="27" t="str">
        <f t="shared" si="10"/>
        <v/>
      </c>
      <c r="BW36" s="2" t="str">
        <f>IF(COP!C24&lt;&gt;"",COP!C24,"")</f>
        <v/>
      </c>
    </row>
    <row r="37" spans="4:75" ht="13.5" thickBot="1">
      <c r="D37" s="84" t="s">
        <v>127</v>
      </c>
      <c r="E37" s="2" t="s">
        <v>21</v>
      </c>
      <c r="F37" s="23" t="str">
        <f>IF(DAY(COP!G25)=0,"",DAY(COP!G25))</f>
        <v/>
      </c>
      <c r="G37" s="24" t="str">
        <f>IF(DAY(COP!H25)=0,"",DAY(COP!H25))</f>
        <v/>
      </c>
      <c r="H37" s="30" t="s">
        <v>190</v>
      </c>
      <c r="I37" s="28" t="str">
        <f t="shared" si="4"/>
        <v/>
      </c>
      <c r="J37" s="27" t="str">
        <f t="shared" si="8"/>
        <v/>
      </c>
      <c r="K37" s="27" t="str">
        <f t="shared" si="8"/>
        <v/>
      </c>
      <c r="L37" s="27" t="str">
        <f t="shared" si="8"/>
        <v/>
      </c>
      <c r="M37" s="27" t="str">
        <f t="shared" si="8"/>
        <v/>
      </c>
      <c r="N37" s="27" t="str">
        <f t="shared" si="8"/>
        <v/>
      </c>
      <c r="O37" s="27" t="str">
        <f t="shared" si="8"/>
        <v/>
      </c>
      <c r="P37" s="27" t="str">
        <f t="shared" si="8"/>
        <v/>
      </c>
      <c r="Q37" s="27" t="str">
        <f t="shared" si="8"/>
        <v/>
      </c>
      <c r="R37" s="27" t="str">
        <f t="shared" si="8"/>
        <v/>
      </c>
      <c r="S37" s="27" t="str">
        <f t="shared" si="8"/>
        <v/>
      </c>
      <c r="T37" s="27" t="str">
        <f t="shared" si="8"/>
        <v/>
      </c>
      <c r="U37" s="27" t="str">
        <f t="shared" si="8"/>
        <v/>
      </c>
      <c r="V37" s="27" t="str">
        <f t="shared" si="8"/>
        <v/>
      </c>
      <c r="W37" s="27" t="str">
        <f t="shared" si="8"/>
        <v/>
      </c>
      <c r="X37" s="27" t="str">
        <f t="shared" si="8"/>
        <v/>
      </c>
      <c r="Y37" s="27" t="str">
        <f t="shared" si="8"/>
        <v/>
      </c>
      <c r="Z37" s="27" t="str">
        <f t="shared" si="8"/>
        <v/>
      </c>
      <c r="AA37" s="27" t="str">
        <f t="shared" si="8"/>
        <v/>
      </c>
      <c r="AB37" s="27" t="str">
        <f t="shared" si="8"/>
        <v/>
      </c>
      <c r="AC37" s="27" t="str">
        <f t="shared" si="8"/>
        <v/>
      </c>
      <c r="AD37" s="27" t="str">
        <f t="shared" si="8"/>
        <v/>
      </c>
      <c r="AE37" s="27" t="str">
        <f t="shared" si="8"/>
        <v/>
      </c>
      <c r="AF37" s="27" t="str">
        <f t="shared" si="8"/>
        <v/>
      </c>
      <c r="AG37" s="27" t="str">
        <f t="shared" si="8"/>
        <v/>
      </c>
      <c r="AH37" s="27" t="str">
        <f t="shared" si="8"/>
        <v/>
      </c>
      <c r="AI37" s="27" t="str">
        <f t="shared" si="8"/>
        <v/>
      </c>
      <c r="AJ37" s="27" t="str">
        <f t="shared" si="8"/>
        <v/>
      </c>
      <c r="AK37" s="27" t="str">
        <f t="shared" si="8"/>
        <v/>
      </c>
      <c r="AL37" s="27" t="str">
        <f t="shared" si="8"/>
        <v/>
      </c>
      <c r="AM37" s="27" t="str">
        <f t="shared" si="8"/>
        <v/>
      </c>
      <c r="AN37" s="2" t="str">
        <f>IF(COP!B25&lt;&gt;"",COP!B25,"")</f>
        <v/>
      </c>
      <c r="AQ37" s="30" t="s">
        <v>190</v>
      </c>
      <c r="AR37" s="27" t="str">
        <f t="shared" si="6"/>
        <v/>
      </c>
      <c r="AS37" s="27" t="str">
        <f t="shared" si="10"/>
        <v/>
      </c>
      <c r="AT37" s="27" t="str">
        <f t="shared" si="10"/>
        <v/>
      </c>
      <c r="AU37" s="27" t="str">
        <f t="shared" si="10"/>
        <v/>
      </c>
      <c r="AV37" s="27" t="str">
        <f t="shared" si="10"/>
        <v/>
      </c>
      <c r="AW37" s="27" t="str">
        <f t="shared" si="10"/>
        <v/>
      </c>
      <c r="AX37" s="27" t="str">
        <f t="shared" si="10"/>
        <v/>
      </c>
      <c r="AY37" s="27" t="str">
        <f t="shared" si="10"/>
        <v/>
      </c>
      <c r="AZ37" s="27" t="str">
        <f t="shared" si="10"/>
        <v/>
      </c>
      <c r="BA37" s="27" t="str">
        <f t="shared" si="10"/>
        <v/>
      </c>
      <c r="BB37" s="27" t="str">
        <f t="shared" si="10"/>
        <v/>
      </c>
      <c r="BC37" s="27" t="str">
        <f t="shared" si="10"/>
        <v/>
      </c>
      <c r="BD37" s="27" t="str">
        <f t="shared" si="10"/>
        <v/>
      </c>
      <c r="BE37" s="27" t="str">
        <f t="shared" si="10"/>
        <v/>
      </c>
      <c r="BF37" s="27" t="str">
        <f t="shared" si="10"/>
        <v/>
      </c>
      <c r="BG37" s="27" t="str">
        <f t="shared" si="10"/>
        <v/>
      </c>
      <c r="BH37" s="27" t="str">
        <f t="shared" si="10"/>
        <v/>
      </c>
      <c r="BI37" s="27" t="str">
        <f t="shared" si="10"/>
        <v/>
      </c>
      <c r="BJ37" s="27" t="str">
        <f t="shared" si="10"/>
        <v/>
      </c>
      <c r="BK37" s="27" t="str">
        <f t="shared" si="10"/>
        <v/>
      </c>
      <c r="BL37" s="27" t="str">
        <f t="shared" si="10"/>
        <v/>
      </c>
      <c r="BM37" s="27" t="str">
        <f t="shared" si="10"/>
        <v/>
      </c>
      <c r="BN37" s="27" t="str">
        <f t="shared" si="10"/>
        <v/>
      </c>
      <c r="BO37" s="27" t="str">
        <f t="shared" si="10"/>
        <v/>
      </c>
      <c r="BP37" s="27" t="str">
        <f t="shared" si="10"/>
        <v/>
      </c>
      <c r="BQ37" s="27" t="str">
        <f t="shared" si="10"/>
        <v/>
      </c>
      <c r="BR37" s="27" t="str">
        <f t="shared" si="10"/>
        <v/>
      </c>
      <c r="BS37" s="27" t="str">
        <f t="shared" si="10"/>
        <v/>
      </c>
      <c r="BT37" s="27" t="str">
        <f t="shared" si="10"/>
        <v/>
      </c>
      <c r="BU37" s="27" t="str">
        <f t="shared" si="10"/>
        <v/>
      </c>
      <c r="BV37" s="27" t="str">
        <f t="shared" si="10"/>
        <v/>
      </c>
      <c r="BW37" s="2" t="str">
        <f>IF(COP!C25&lt;&gt;"",COP!C25,"")</f>
        <v/>
      </c>
    </row>
    <row r="38" spans="4:75" ht="13.5" thickBot="1">
      <c r="D38" s="84" t="s">
        <v>141</v>
      </c>
      <c r="E38" s="2" t="s">
        <v>22</v>
      </c>
      <c r="F38" s="23" t="str">
        <f>IF(DAY(COP!G26)=0,"",DAY(COP!G26))</f>
        <v/>
      </c>
      <c r="G38" s="24" t="str">
        <f>IF(DAY(COP!H26)=0,"",DAY(COP!H26))</f>
        <v/>
      </c>
      <c r="H38" s="30" t="s">
        <v>191</v>
      </c>
      <c r="I38" s="28" t="str">
        <f t="shared" si="4"/>
        <v/>
      </c>
      <c r="J38" s="27" t="str">
        <f t="shared" si="8"/>
        <v/>
      </c>
      <c r="K38" s="27" t="str">
        <f t="shared" si="8"/>
        <v/>
      </c>
      <c r="L38" s="27" t="str">
        <f t="shared" si="8"/>
        <v/>
      </c>
      <c r="M38" s="27" t="str">
        <f t="shared" si="8"/>
        <v/>
      </c>
      <c r="N38" s="27" t="str">
        <f t="shared" si="8"/>
        <v/>
      </c>
      <c r="O38" s="27" t="str">
        <f t="shared" si="8"/>
        <v/>
      </c>
      <c r="P38" s="27" t="str">
        <f t="shared" si="8"/>
        <v/>
      </c>
      <c r="Q38" s="27" t="str">
        <f t="shared" si="8"/>
        <v/>
      </c>
      <c r="R38" s="27" t="str">
        <f t="shared" si="8"/>
        <v/>
      </c>
      <c r="S38" s="27" t="str">
        <f t="shared" si="8"/>
        <v/>
      </c>
      <c r="T38" s="27" t="str">
        <f t="shared" si="8"/>
        <v/>
      </c>
      <c r="U38" s="27" t="str">
        <f t="shared" si="8"/>
        <v/>
      </c>
      <c r="V38" s="27" t="str">
        <f t="shared" si="8"/>
        <v/>
      </c>
      <c r="W38" s="27" t="str">
        <f t="shared" si="8"/>
        <v/>
      </c>
      <c r="X38" s="27" t="str">
        <f t="shared" si="8"/>
        <v/>
      </c>
      <c r="Y38" s="27" t="str">
        <f t="shared" si="8"/>
        <v/>
      </c>
      <c r="Z38" s="27" t="str">
        <f t="shared" si="8"/>
        <v/>
      </c>
      <c r="AA38" s="27" t="str">
        <f t="shared" si="8"/>
        <v/>
      </c>
      <c r="AB38" s="27" t="str">
        <f t="shared" si="8"/>
        <v/>
      </c>
      <c r="AC38" s="27" t="str">
        <f t="shared" si="8"/>
        <v/>
      </c>
      <c r="AD38" s="27" t="str">
        <f t="shared" si="8"/>
        <v/>
      </c>
      <c r="AE38" s="27" t="str">
        <f t="shared" si="8"/>
        <v/>
      </c>
      <c r="AF38" s="27" t="str">
        <f t="shared" si="8"/>
        <v/>
      </c>
      <c r="AG38" s="27" t="str">
        <f t="shared" si="8"/>
        <v/>
      </c>
      <c r="AH38" s="27" t="str">
        <f t="shared" si="8"/>
        <v/>
      </c>
      <c r="AI38" s="27" t="str">
        <f t="shared" si="8"/>
        <v/>
      </c>
      <c r="AJ38" s="27" t="str">
        <f t="shared" si="8"/>
        <v/>
      </c>
      <c r="AK38" s="27" t="str">
        <f t="shared" si="8"/>
        <v/>
      </c>
      <c r="AL38" s="27" t="str">
        <f t="shared" si="8"/>
        <v/>
      </c>
      <c r="AM38" s="27" t="str">
        <f t="shared" si="8"/>
        <v/>
      </c>
      <c r="AN38" s="2" t="str">
        <f>IF(COP!B26&lt;&gt;"",COP!B26,"")</f>
        <v/>
      </c>
      <c r="AQ38" s="30" t="s">
        <v>191</v>
      </c>
      <c r="AR38" s="27" t="str">
        <f t="shared" si="6"/>
        <v/>
      </c>
      <c r="AS38" s="27" t="str">
        <f t="shared" si="10"/>
        <v/>
      </c>
      <c r="AT38" s="27" t="str">
        <f t="shared" si="10"/>
        <v/>
      </c>
      <c r="AU38" s="27" t="str">
        <f t="shared" si="10"/>
        <v/>
      </c>
      <c r="AV38" s="27" t="str">
        <f t="shared" si="10"/>
        <v/>
      </c>
      <c r="AW38" s="27" t="str">
        <f t="shared" si="10"/>
        <v/>
      </c>
      <c r="AX38" s="27" t="str">
        <f t="shared" si="10"/>
        <v/>
      </c>
      <c r="AY38" s="27" t="str">
        <f t="shared" si="10"/>
        <v/>
      </c>
      <c r="AZ38" s="27" t="str">
        <f t="shared" si="10"/>
        <v/>
      </c>
      <c r="BA38" s="27" t="str">
        <f t="shared" si="10"/>
        <v/>
      </c>
      <c r="BB38" s="27" t="str">
        <f t="shared" si="10"/>
        <v/>
      </c>
      <c r="BC38" s="27" t="str">
        <f t="shared" si="10"/>
        <v/>
      </c>
      <c r="BD38" s="27" t="str">
        <f t="shared" si="10"/>
        <v/>
      </c>
      <c r="BE38" s="27" t="str">
        <f t="shared" si="10"/>
        <v/>
      </c>
      <c r="BF38" s="27" t="str">
        <f t="shared" si="10"/>
        <v/>
      </c>
      <c r="BG38" s="27" t="str">
        <f t="shared" si="10"/>
        <v/>
      </c>
      <c r="BH38" s="27" t="str">
        <f t="shared" si="10"/>
        <v/>
      </c>
      <c r="BI38" s="27" t="str">
        <f t="shared" si="10"/>
        <v/>
      </c>
      <c r="BJ38" s="27" t="str">
        <f t="shared" si="10"/>
        <v/>
      </c>
      <c r="BK38" s="27" t="str">
        <f t="shared" si="10"/>
        <v/>
      </c>
      <c r="BL38" s="27" t="str">
        <f t="shared" si="10"/>
        <v/>
      </c>
      <c r="BM38" s="27" t="str">
        <f t="shared" si="10"/>
        <v/>
      </c>
      <c r="BN38" s="27" t="str">
        <f t="shared" si="10"/>
        <v/>
      </c>
      <c r="BO38" s="27" t="str">
        <f t="shared" si="10"/>
        <v/>
      </c>
      <c r="BP38" s="27" t="str">
        <f t="shared" si="10"/>
        <v/>
      </c>
      <c r="BQ38" s="27" t="str">
        <f t="shared" si="10"/>
        <v/>
      </c>
      <c r="BR38" s="27" t="str">
        <f t="shared" si="10"/>
        <v/>
      </c>
      <c r="BS38" s="27" t="str">
        <f t="shared" si="10"/>
        <v/>
      </c>
      <c r="BT38" s="27" t="str">
        <f t="shared" si="10"/>
        <v/>
      </c>
      <c r="BU38" s="27" t="str">
        <f t="shared" si="10"/>
        <v/>
      </c>
      <c r="BV38" s="27" t="str">
        <f t="shared" si="10"/>
        <v/>
      </c>
      <c r="BW38" s="2" t="str">
        <f>IF(COP!C26&lt;&gt;"",COP!C26,"")</f>
        <v/>
      </c>
    </row>
    <row r="39" spans="4:75" ht="13.5" thickBot="1">
      <c r="D39" s="84" t="s">
        <v>111</v>
      </c>
      <c r="E39" s="2" t="s">
        <v>23</v>
      </c>
      <c r="F39" s="23" t="str">
        <f>IF(DAY(COP!G27)=0,"",DAY(COP!G27))</f>
        <v/>
      </c>
      <c r="G39" s="24" t="str">
        <f>IF(DAY(COP!H27)=0,"",DAY(COP!H27))</f>
        <v/>
      </c>
      <c r="H39" s="30" t="s">
        <v>192</v>
      </c>
      <c r="I39" s="28" t="str">
        <f t="shared" si="4"/>
        <v/>
      </c>
      <c r="J39" s="27" t="str">
        <f t="shared" si="8"/>
        <v/>
      </c>
      <c r="K39" s="27" t="str">
        <f t="shared" si="8"/>
        <v/>
      </c>
      <c r="L39" s="27" t="str">
        <f t="shared" si="8"/>
        <v/>
      </c>
      <c r="M39" s="27" t="str">
        <f t="shared" si="8"/>
        <v/>
      </c>
      <c r="N39" s="27" t="str">
        <f t="shared" si="8"/>
        <v/>
      </c>
      <c r="O39" s="27" t="str">
        <f t="shared" si="8"/>
        <v/>
      </c>
      <c r="P39" s="27" t="str">
        <f t="shared" si="8"/>
        <v/>
      </c>
      <c r="Q39" s="27" t="str">
        <f t="shared" si="8"/>
        <v/>
      </c>
      <c r="R39" s="27" t="str">
        <f t="shared" si="8"/>
        <v/>
      </c>
      <c r="S39" s="27" t="str">
        <f t="shared" si="8"/>
        <v/>
      </c>
      <c r="T39" s="27" t="str">
        <f t="shared" si="8"/>
        <v/>
      </c>
      <c r="U39" s="27" t="str">
        <f t="shared" si="8"/>
        <v/>
      </c>
      <c r="V39" s="27" t="str">
        <f t="shared" si="8"/>
        <v/>
      </c>
      <c r="W39" s="27" t="str">
        <f t="shared" si="8"/>
        <v/>
      </c>
      <c r="X39" s="27" t="str">
        <f t="shared" si="8"/>
        <v/>
      </c>
      <c r="Y39" s="27" t="str">
        <f t="shared" si="8"/>
        <v/>
      </c>
      <c r="Z39" s="27" t="str">
        <f t="shared" si="8"/>
        <v/>
      </c>
      <c r="AA39" s="27" t="str">
        <f t="shared" si="8"/>
        <v/>
      </c>
      <c r="AB39" s="27" t="str">
        <f t="shared" si="8"/>
        <v/>
      </c>
      <c r="AC39" s="27" t="str">
        <f t="shared" si="8"/>
        <v/>
      </c>
      <c r="AD39" s="27" t="str">
        <f t="shared" si="8"/>
        <v/>
      </c>
      <c r="AE39" s="27" t="str">
        <f t="shared" si="8"/>
        <v/>
      </c>
      <c r="AF39" s="27" t="str">
        <f t="shared" si="8"/>
        <v/>
      </c>
      <c r="AG39" s="27" t="str">
        <f t="shared" si="8"/>
        <v/>
      </c>
      <c r="AH39" s="27" t="str">
        <f t="shared" si="8"/>
        <v/>
      </c>
      <c r="AI39" s="27" t="str">
        <f t="shared" si="8"/>
        <v/>
      </c>
      <c r="AJ39" s="27" t="str">
        <f t="shared" si="8"/>
        <v/>
      </c>
      <c r="AK39" s="27" t="str">
        <f t="shared" si="8"/>
        <v/>
      </c>
      <c r="AL39" s="27" t="str">
        <f t="shared" si="8"/>
        <v/>
      </c>
      <c r="AM39" s="27" t="str">
        <f t="shared" si="8"/>
        <v/>
      </c>
      <c r="AN39" s="2" t="str">
        <f>IF(COP!B27&lt;&gt;"",COP!B27,"")</f>
        <v/>
      </c>
      <c r="AQ39" s="30" t="s">
        <v>192</v>
      </c>
      <c r="AR39" s="27" t="str">
        <f t="shared" si="6"/>
        <v/>
      </c>
      <c r="AS39" s="27" t="str">
        <f t="shared" si="10"/>
        <v/>
      </c>
      <c r="AT39" s="27" t="str">
        <f t="shared" si="10"/>
        <v/>
      </c>
      <c r="AU39" s="27" t="str">
        <f t="shared" si="10"/>
        <v/>
      </c>
      <c r="AV39" s="27" t="str">
        <f t="shared" si="10"/>
        <v/>
      </c>
      <c r="AW39" s="27" t="str">
        <f t="shared" si="10"/>
        <v/>
      </c>
      <c r="AX39" s="27" t="str">
        <f t="shared" si="10"/>
        <v/>
      </c>
      <c r="AY39" s="27" t="str">
        <f t="shared" si="10"/>
        <v/>
      </c>
      <c r="AZ39" s="27" t="str">
        <f t="shared" si="10"/>
        <v/>
      </c>
      <c r="BA39" s="27" t="str">
        <f t="shared" si="10"/>
        <v/>
      </c>
      <c r="BB39" s="27" t="str">
        <f t="shared" si="10"/>
        <v/>
      </c>
      <c r="BC39" s="27" t="str">
        <f t="shared" si="10"/>
        <v/>
      </c>
      <c r="BD39" s="27" t="str">
        <f t="shared" si="10"/>
        <v/>
      </c>
      <c r="BE39" s="27" t="str">
        <f t="shared" si="10"/>
        <v/>
      </c>
      <c r="BF39" s="27" t="str">
        <f t="shared" si="10"/>
        <v/>
      </c>
      <c r="BG39" s="27" t="str">
        <f t="shared" si="10"/>
        <v/>
      </c>
      <c r="BH39" s="27" t="str">
        <f t="shared" si="10"/>
        <v/>
      </c>
      <c r="BI39" s="27" t="str">
        <f t="shared" si="10"/>
        <v/>
      </c>
      <c r="BJ39" s="27" t="str">
        <f t="shared" si="10"/>
        <v/>
      </c>
      <c r="BK39" s="27" t="str">
        <f t="shared" si="10"/>
        <v/>
      </c>
      <c r="BL39" s="27" t="str">
        <f t="shared" si="10"/>
        <v/>
      </c>
      <c r="BM39" s="27" t="str">
        <f t="shared" si="10"/>
        <v/>
      </c>
      <c r="BN39" s="27" t="str">
        <f t="shared" si="10"/>
        <v/>
      </c>
      <c r="BO39" s="27" t="str">
        <f t="shared" si="10"/>
        <v/>
      </c>
      <c r="BP39" s="27" t="str">
        <f t="shared" si="10"/>
        <v/>
      </c>
      <c r="BQ39" s="27" t="str">
        <f t="shared" si="10"/>
        <v/>
      </c>
      <c r="BR39" s="27" t="str">
        <f t="shared" si="10"/>
        <v/>
      </c>
      <c r="BS39" s="27" t="str">
        <f t="shared" si="10"/>
        <v/>
      </c>
      <c r="BT39" s="27" t="str">
        <f t="shared" si="10"/>
        <v/>
      </c>
      <c r="BU39" s="27" t="str">
        <f t="shared" si="10"/>
        <v/>
      </c>
      <c r="BV39" s="27" t="str">
        <f t="shared" si="10"/>
        <v/>
      </c>
      <c r="BW39" s="2" t="str">
        <f>IF(COP!C27&lt;&gt;"",COP!C27,"")</f>
        <v/>
      </c>
    </row>
    <row r="40" spans="4:75" ht="13.5" thickBot="1">
      <c r="D40" s="84" t="s">
        <v>167</v>
      </c>
      <c r="E40" s="2" t="s">
        <v>24</v>
      </c>
      <c r="F40" s="23" t="str">
        <f>IF(DAY(COP!G28)=0,"",DAY(COP!G28))</f>
        <v/>
      </c>
      <c r="G40" s="24" t="str">
        <f>IF(DAY(COP!H28)=0,"",DAY(COP!H28))</f>
        <v/>
      </c>
      <c r="H40" s="30" t="s">
        <v>193</v>
      </c>
      <c r="I40" s="28" t="str">
        <f t="shared" si="4"/>
        <v/>
      </c>
      <c r="J40" s="27" t="str">
        <f t="shared" si="8"/>
        <v/>
      </c>
      <c r="K40" s="27" t="str">
        <f t="shared" si="8"/>
        <v/>
      </c>
      <c r="L40" s="27" t="str">
        <f t="shared" si="8"/>
        <v/>
      </c>
      <c r="M40" s="27" t="str">
        <f t="shared" si="8"/>
        <v/>
      </c>
      <c r="N40" s="27" t="str">
        <f t="shared" si="8"/>
        <v/>
      </c>
      <c r="O40" s="27" t="str">
        <f t="shared" si="8"/>
        <v/>
      </c>
      <c r="P40" s="27" t="str">
        <f t="shared" si="8"/>
        <v/>
      </c>
      <c r="Q40" s="27" t="str">
        <f t="shared" si="8"/>
        <v/>
      </c>
      <c r="R40" s="27" t="str">
        <f t="shared" si="8"/>
        <v/>
      </c>
      <c r="S40" s="27" t="str">
        <f t="shared" si="8"/>
        <v/>
      </c>
      <c r="T40" s="27" t="str">
        <f t="shared" si="8"/>
        <v/>
      </c>
      <c r="U40" s="27" t="str">
        <f t="shared" si="8"/>
        <v/>
      </c>
      <c r="V40" s="27" t="str">
        <f t="shared" si="8"/>
        <v/>
      </c>
      <c r="W40" s="27" t="str">
        <f t="shared" si="8"/>
        <v/>
      </c>
      <c r="X40" s="27" t="str">
        <f t="shared" si="8"/>
        <v/>
      </c>
      <c r="Y40" s="27" t="str">
        <f t="shared" ref="Y40:AM40" si="11">IF(AND(X40&lt;&gt;"",$G40&gt;=Y$21),$AN40,IF($F40=Y$21,$AN40,""))</f>
        <v/>
      </c>
      <c r="Z40" s="27" t="str">
        <f t="shared" si="11"/>
        <v/>
      </c>
      <c r="AA40" s="27" t="str">
        <f t="shared" si="11"/>
        <v/>
      </c>
      <c r="AB40" s="27" t="str">
        <f t="shared" si="11"/>
        <v/>
      </c>
      <c r="AC40" s="27" t="str">
        <f t="shared" si="11"/>
        <v/>
      </c>
      <c r="AD40" s="27" t="str">
        <f t="shared" si="11"/>
        <v/>
      </c>
      <c r="AE40" s="27" t="str">
        <f t="shared" si="11"/>
        <v/>
      </c>
      <c r="AF40" s="27" t="str">
        <f t="shared" si="11"/>
        <v/>
      </c>
      <c r="AG40" s="27" t="str">
        <f t="shared" si="11"/>
        <v/>
      </c>
      <c r="AH40" s="27" t="str">
        <f t="shared" si="11"/>
        <v/>
      </c>
      <c r="AI40" s="27" t="str">
        <f t="shared" si="11"/>
        <v/>
      </c>
      <c r="AJ40" s="27" t="str">
        <f t="shared" si="11"/>
        <v/>
      </c>
      <c r="AK40" s="27" t="str">
        <f t="shared" si="11"/>
        <v/>
      </c>
      <c r="AL40" s="27" t="str">
        <f t="shared" si="11"/>
        <v/>
      </c>
      <c r="AM40" s="27" t="str">
        <f t="shared" si="11"/>
        <v/>
      </c>
      <c r="AN40" s="2" t="str">
        <f>IF(COP!B28&lt;&gt;"",COP!B28,"")</f>
        <v/>
      </c>
      <c r="AQ40" s="30" t="s">
        <v>193</v>
      </c>
      <c r="AR40" s="27" t="str">
        <f t="shared" si="6"/>
        <v/>
      </c>
      <c r="AS40" s="27" t="str">
        <f t="shared" si="10"/>
        <v/>
      </c>
      <c r="AT40" s="27" t="str">
        <f t="shared" si="10"/>
        <v/>
      </c>
      <c r="AU40" s="27" t="str">
        <f t="shared" si="10"/>
        <v/>
      </c>
      <c r="AV40" s="27" t="str">
        <f t="shared" si="10"/>
        <v/>
      </c>
      <c r="AW40" s="27" t="str">
        <f t="shared" si="10"/>
        <v/>
      </c>
      <c r="AX40" s="27" t="str">
        <f t="shared" si="10"/>
        <v/>
      </c>
      <c r="AY40" s="27" t="str">
        <f t="shared" si="10"/>
        <v/>
      </c>
      <c r="AZ40" s="27" t="str">
        <f t="shared" si="10"/>
        <v/>
      </c>
      <c r="BA40" s="27" t="str">
        <f t="shared" si="10"/>
        <v/>
      </c>
      <c r="BB40" s="27" t="str">
        <f t="shared" si="10"/>
        <v/>
      </c>
      <c r="BC40" s="27" t="str">
        <f t="shared" si="10"/>
        <v/>
      </c>
      <c r="BD40" s="27" t="str">
        <f t="shared" si="10"/>
        <v/>
      </c>
      <c r="BE40" s="27" t="str">
        <f t="shared" si="10"/>
        <v/>
      </c>
      <c r="BF40" s="27" t="str">
        <f t="shared" si="10"/>
        <v/>
      </c>
      <c r="BG40" s="27" t="str">
        <f t="shared" si="10"/>
        <v/>
      </c>
      <c r="BH40" s="27" t="str">
        <f t="shared" si="10"/>
        <v/>
      </c>
      <c r="BI40" s="27" t="str">
        <f t="shared" si="10"/>
        <v/>
      </c>
      <c r="BJ40" s="27" t="str">
        <f t="shared" si="10"/>
        <v/>
      </c>
      <c r="BK40" s="27" t="str">
        <f t="shared" si="10"/>
        <v/>
      </c>
      <c r="BL40" s="27" t="str">
        <f t="shared" si="10"/>
        <v/>
      </c>
      <c r="BM40" s="27" t="str">
        <f t="shared" si="10"/>
        <v/>
      </c>
      <c r="BN40" s="27" t="str">
        <f t="shared" si="10"/>
        <v/>
      </c>
      <c r="BO40" s="27" t="str">
        <f t="shared" si="10"/>
        <v/>
      </c>
      <c r="BP40" s="27" t="str">
        <f t="shared" si="10"/>
        <v/>
      </c>
      <c r="BQ40" s="27" t="str">
        <f t="shared" si="10"/>
        <v/>
      </c>
      <c r="BR40" s="27" t="str">
        <f t="shared" si="10"/>
        <v/>
      </c>
      <c r="BS40" s="27" t="str">
        <f t="shared" si="10"/>
        <v/>
      </c>
      <c r="BT40" s="27" t="str">
        <f t="shared" si="10"/>
        <v/>
      </c>
      <c r="BU40" s="27" t="str">
        <f t="shared" si="10"/>
        <v/>
      </c>
      <c r="BV40" s="27" t="str">
        <f t="shared" si="10"/>
        <v/>
      </c>
      <c r="BW40" s="2" t="str">
        <f>IF(COP!C28&lt;&gt;"",COP!C28,"")</f>
        <v/>
      </c>
    </row>
    <row r="41" spans="4:75" ht="15.75" thickBot="1">
      <c r="D41" s="17" t="s">
        <v>161</v>
      </c>
      <c r="E41" s="134" t="s">
        <v>25</v>
      </c>
      <c r="F41" s="25" t="str">
        <f>IF(DAY(COP!G29)=0,"",DAY(COP!G29))</f>
        <v/>
      </c>
      <c r="G41" s="13" t="str">
        <f>IF(DAY(COP!H29)=0,"",DAY(COP!H29))</f>
        <v/>
      </c>
      <c r="H41" s="37" t="s">
        <v>194</v>
      </c>
      <c r="I41" s="28" t="str">
        <f t="shared" si="4"/>
        <v/>
      </c>
      <c r="J41" s="27" t="str">
        <f t="shared" ref="J41:AM41" si="12">IF(AND(I41&lt;&gt;"",$G41&gt;=J$21),$AN41,IF($F41=J$21,$AN41,""))</f>
        <v/>
      </c>
      <c r="K41" s="27" t="str">
        <f t="shared" si="12"/>
        <v/>
      </c>
      <c r="L41" s="27" t="str">
        <f t="shared" si="12"/>
        <v/>
      </c>
      <c r="M41" s="27" t="str">
        <f t="shared" si="12"/>
        <v/>
      </c>
      <c r="N41" s="27" t="str">
        <f t="shared" si="12"/>
        <v/>
      </c>
      <c r="O41" s="27" t="str">
        <f t="shared" si="12"/>
        <v/>
      </c>
      <c r="P41" s="27" t="str">
        <f t="shared" si="12"/>
        <v/>
      </c>
      <c r="Q41" s="27" t="str">
        <f t="shared" si="12"/>
        <v/>
      </c>
      <c r="R41" s="27" t="str">
        <f t="shared" si="12"/>
        <v/>
      </c>
      <c r="S41" s="27" t="str">
        <f t="shared" si="12"/>
        <v/>
      </c>
      <c r="T41" s="27" t="str">
        <f t="shared" si="12"/>
        <v/>
      </c>
      <c r="U41" s="27" t="str">
        <f t="shared" si="12"/>
        <v/>
      </c>
      <c r="V41" s="27" t="str">
        <f t="shared" si="12"/>
        <v/>
      </c>
      <c r="W41" s="27" t="str">
        <f t="shared" si="12"/>
        <v/>
      </c>
      <c r="X41" s="27" t="str">
        <f t="shared" si="12"/>
        <v/>
      </c>
      <c r="Y41" s="27" t="str">
        <f t="shared" si="12"/>
        <v/>
      </c>
      <c r="Z41" s="27" t="str">
        <f t="shared" si="12"/>
        <v/>
      </c>
      <c r="AA41" s="27" t="str">
        <f t="shared" si="12"/>
        <v/>
      </c>
      <c r="AB41" s="27" t="str">
        <f t="shared" si="12"/>
        <v/>
      </c>
      <c r="AC41" s="27" t="str">
        <f t="shared" si="12"/>
        <v/>
      </c>
      <c r="AD41" s="27" t="str">
        <f t="shared" si="12"/>
        <v/>
      </c>
      <c r="AE41" s="27" t="str">
        <f t="shared" si="12"/>
        <v/>
      </c>
      <c r="AF41" s="27" t="str">
        <f t="shared" si="12"/>
        <v/>
      </c>
      <c r="AG41" s="27" t="str">
        <f t="shared" si="12"/>
        <v/>
      </c>
      <c r="AH41" s="27" t="str">
        <f t="shared" si="12"/>
        <v/>
      </c>
      <c r="AI41" s="27" t="str">
        <f t="shared" si="12"/>
        <v/>
      </c>
      <c r="AJ41" s="27" t="str">
        <f t="shared" si="12"/>
        <v/>
      </c>
      <c r="AK41" s="27" t="str">
        <f t="shared" si="12"/>
        <v/>
      </c>
      <c r="AL41" s="27" t="str">
        <f t="shared" si="12"/>
        <v/>
      </c>
      <c r="AM41" s="27" t="str">
        <f t="shared" si="12"/>
        <v/>
      </c>
      <c r="AN41" s="2" t="str">
        <f>IF(COP!B29&lt;&gt;"",COP!B29,"")</f>
        <v/>
      </c>
      <c r="AQ41" s="31" t="s">
        <v>194</v>
      </c>
      <c r="AR41" s="27" t="str">
        <f t="shared" si="6"/>
        <v/>
      </c>
      <c r="AS41" s="27" t="str">
        <f t="shared" si="10"/>
        <v/>
      </c>
      <c r="AT41" s="27" t="str">
        <f t="shared" si="10"/>
        <v/>
      </c>
      <c r="AU41" s="27" t="str">
        <f t="shared" si="10"/>
        <v/>
      </c>
      <c r="AV41" s="27" t="str">
        <f t="shared" si="10"/>
        <v/>
      </c>
      <c r="AW41" s="27" t="str">
        <f t="shared" si="10"/>
        <v/>
      </c>
      <c r="AX41" s="27" t="str">
        <f t="shared" si="10"/>
        <v/>
      </c>
      <c r="AY41" s="27" t="str">
        <f t="shared" si="10"/>
        <v/>
      </c>
      <c r="AZ41" s="27" t="str">
        <f t="shared" si="10"/>
        <v/>
      </c>
      <c r="BA41" s="27" t="str">
        <f t="shared" si="10"/>
        <v/>
      </c>
      <c r="BB41" s="27" t="str">
        <f t="shared" si="10"/>
        <v/>
      </c>
      <c r="BC41" s="27" t="str">
        <f t="shared" si="10"/>
        <v/>
      </c>
      <c r="BD41" s="27" t="str">
        <f t="shared" si="10"/>
        <v/>
      </c>
      <c r="BE41" s="27" t="str">
        <f t="shared" si="10"/>
        <v/>
      </c>
      <c r="BF41" s="27" t="str">
        <f t="shared" si="10"/>
        <v/>
      </c>
      <c r="BG41" s="27" t="str">
        <f t="shared" si="10"/>
        <v/>
      </c>
      <c r="BH41" s="27" t="str">
        <f t="shared" ref="BH41:BV41" si="13">IF(AND(BG41&lt;&gt;"",$G41&gt;=BH$21),$BW41,IF($F41=BH$21,$BW41,""))</f>
        <v/>
      </c>
      <c r="BI41" s="27" t="str">
        <f t="shared" si="13"/>
        <v/>
      </c>
      <c r="BJ41" s="27" t="str">
        <f t="shared" si="13"/>
        <v/>
      </c>
      <c r="BK41" s="27" t="str">
        <f t="shared" si="13"/>
        <v/>
      </c>
      <c r="BL41" s="27" t="str">
        <f t="shared" si="13"/>
        <v/>
      </c>
      <c r="BM41" s="27" t="str">
        <f t="shared" si="13"/>
        <v/>
      </c>
      <c r="BN41" s="27" t="str">
        <f t="shared" si="13"/>
        <v/>
      </c>
      <c r="BO41" s="27" t="str">
        <f t="shared" si="13"/>
        <v/>
      </c>
      <c r="BP41" s="27" t="str">
        <f t="shared" si="13"/>
        <v/>
      </c>
      <c r="BQ41" s="27" t="str">
        <f t="shared" si="13"/>
        <v/>
      </c>
      <c r="BR41" s="27" t="str">
        <f t="shared" si="13"/>
        <v/>
      </c>
      <c r="BS41" s="27" t="str">
        <f t="shared" si="13"/>
        <v/>
      </c>
      <c r="BT41" s="27" t="str">
        <f t="shared" si="13"/>
        <v/>
      </c>
      <c r="BU41" s="27" t="str">
        <f t="shared" si="13"/>
        <v/>
      </c>
      <c r="BV41" s="27" t="str">
        <f t="shared" si="13"/>
        <v/>
      </c>
      <c r="BW41" s="2" t="str">
        <f>IF(COP!C29&lt;&gt;"",COP!C29,"")</f>
        <v/>
      </c>
    </row>
    <row r="42" spans="4:75" ht="14.25">
      <c r="D42" s="84" t="s">
        <v>123</v>
      </c>
      <c r="E42"/>
      <c r="F42" s="32" t="s">
        <v>197</v>
      </c>
      <c r="G42" s="35" t="s">
        <v>198</v>
      </c>
      <c r="H42" s="39" t="s">
        <v>199</v>
      </c>
      <c r="I42" s="40">
        <f t="shared" ref="I42:AM42" si="14">IF(COUNTBLANK(I23:I41)&lt;&gt;19,1,"")</f>
        <v>1</v>
      </c>
      <c r="J42" s="40">
        <f t="shared" si="14"/>
        <v>1</v>
      </c>
      <c r="K42" s="40">
        <f t="shared" si="14"/>
        <v>1</v>
      </c>
      <c r="L42" s="40">
        <f t="shared" si="14"/>
        <v>1</v>
      </c>
      <c r="M42" s="40">
        <f t="shared" si="14"/>
        <v>1</v>
      </c>
      <c r="N42" s="40">
        <f t="shared" si="14"/>
        <v>1</v>
      </c>
      <c r="O42" s="40">
        <f t="shared" si="14"/>
        <v>1</v>
      </c>
      <c r="P42" s="40">
        <f t="shared" si="14"/>
        <v>1</v>
      </c>
      <c r="Q42" s="40">
        <f t="shared" si="14"/>
        <v>1</v>
      </c>
      <c r="R42" s="40">
        <f t="shared" si="14"/>
        <v>1</v>
      </c>
      <c r="S42" s="40">
        <f t="shared" si="14"/>
        <v>1</v>
      </c>
      <c r="T42" s="40">
        <f t="shared" si="14"/>
        <v>1</v>
      </c>
      <c r="U42" s="40">
        <f t="shared" si="14"/>
        <v>1</v>
      </c>
      <c r="V42" s="40">
        <f t="shared" si="14"/>
        <v>1</v>
      </c>
      <c r="W42" s="40">
        <f t="shared" si="14"/>
        <v>1</v>
      </c>
      <c r="X42" s="40">
        <f t="shared" si="14"/>
        <v>1</v>
      </c>
      <c r="Y42" s="40">
        <f t="shared" si="14"/>
        <v>1</v>
      </c>
      <c r="Z42" s="40">
        <f t="shared" si="14"/>
        <v>1</v>
      </c>
      <c r="AA42" s="40">
        <f t="shared" si="14"/>
        <v>1</v>
      </c>
      <c r="AB42" s="40">
        <f t="shared" si="14"/>
        <v>1</v>
      </c>
      <c r="AC42" s="40">
        <f t="shared" si="14"/>
        <v>1</v>
      </c>
      <c r="AD42" s="40">
        <f t="shared" si="14"/>
        <v>1</v>
      </c>
      <c r="AE42" s="40">
        <f t="shared" si="14"/>
        <v>1</v>
      </c>
      <c r="AF42" s="40">
        <f t="shared" si="14"/>
        <v>1</v>
      </c>
      <c r="AG42" s="40">
        <f t="shared" si="14"/>
        <v>1</v>
      </c>
      <c r="AH42" s="40">
        <f t="shared" si="14"/>
        <v>1</v>
      </c>
      <c r="AI42" s="40">
        <f t="shared" si="14"/>
        <v>1</v>
      </c>
      <c r="AJ42" s="40">
        <f t="shared" si="14"/>
        <v>1</v>
      </c>
      <c r="AK42" s="40">
        <f t="shared" si="14"/>
        <v>1</v>
      </c>
      <c r="AL42" s="40">
        <f t="shared" si="14"/>
        <v>1</v>
      </c>
      <c r="AM42" s="41">
        <f t="shared" si="14"/>
        <v>1</v>
      </c>
      <c r="AQ42" s="39" t="s">
        <v>199</v>
      </c>
      <c r="AR42" s="40" t="str">
        <f t="shared" ref="AR42:BV42" si="15">IF(COUNTBLANK(AR23:AR41)&lt;&gt;19,1,"")</f>
        <v/>
      </c>
      <c r="AS42" s="40">
        <f t="shared" si="15"/>
        <v>1</v>
      </c>
      <c r="AT42" s="40">
        <f t="shared" si="15"/>
        <v>1</v>
      </c>
      <c r="AU42" s="40">
        <f t="shared" si="15"/>
        <v>1</v>
      </c>
      <c r="AV42" s="40">
        <f t="shared" si="15"/>
        <v>1</v>
      </c>
      <c r="AW42" s="40">
        <f t="shared" si="15"/>
        <v>1</v>
      </c>
      <c r="AX42" s="40">
        <f t="shared" si="15"/>
        <v>1</v>
      </c>
      <c r="AY42" s="40">
        <f t="shared" si="15"/>
        <v>1</v>
      </c>
      <c r="AZ42" s="40">
        <f t="shared" si="15"/>
        <v>1</v>
      </c>
      <c r="BA42" s="40">
        <f t="shared" si="15"/>
        <v>1</v>
      </c>
      <c r="BB42" s="40">
        <f t="shared" si="15"/>
        <v>1</v>
      </c>
      <c r="BC42" s="40">
        <f t="shared" si="15"/>
        <v>1</v>
      </c>
      <c r="BD42" s="40">
        <f t="shared" si="15"/>
        <v>1</v>
      </c>
      <c r="BE42" s="40">
        <f t="shared" si="15"/>
        <v>1</v>
      </c>
      <c r="BF42" s="40">
        <f t="shared" si="15"/>
        <v>1</v>
      </c>
      <c r="BG42" s="40">
        <f t="shared" si="15"/>
        <v>1</v>
      </c>
      <c r="BH42" s="40">
        <f t="shared" si="15"/>
        <v>1</v>
      </c>
      <c r="BI42" s="40">
        <f t="shared" si="15"/>
        <v>1</v>
      </c>
      <c r="BJ42" s="40">
        <f t="shared" si="15"/>
        <v>1</v>
      </c>
      <c r="BK42" s="40">
        <f t="shared" si="15"/>
        <v>1</v>
      </c>
      <c r="BL42" s="40">
        <f t="shared" si="15"/>
        <v>1</v>
      </c>
      <c r="BM42" s="40">
        <f t="shared" si="15"/>
        <v>1</v>
      </c>
      <c r="BN42" s="40">
        <f t="shared" si="15"/>
        <v>1</v>
      </c>
      <c r="BO42" s="40">
        <f t="shared" si="15"/>
        <v>1</v>
      </c>
      <c r="BP42" s="40">
        <f t="shared" si="15"/>
        <v>1</v>
      </c>
      <c r="BQ42" s="40">
        <f t="shared" si="15"/>
        <v>1</v>
      </c>
      <c r="BR42" s="40">
        <f t="shared" si="15"/>
        <v>1</v>
      </c>
      <c r="BS42" s="40">
        <f t="shared" si="15"/>
        <v>1</v>
      </c>
      <c r="BT42" s="40">
        <f t="shared" si="15"/>
        <v>1</v>
      </c>
      <c r="BU42" s="40">
        <f t="shared" si="15"/>
        <v>1</v>
      </c>
      <c r="BV42" s="41">
        <f t="shared" si="15"/>
        <v>1</v>
      </c>
    </row>
    <row r="43" spans="4:75" ht="15" thickBot="1">
      <c r="D43" s="84" t="s">
        <v>79</v>
      </c>
      <c r="E43"/>
      <c r="F43" s="33">
        <f>MIN(F23:F41)</f>
        <v>0</v>
      </c>
      <c r="G43" s="36" t="e">
        <f>MAX(G23:G41)</f>
        <v>#VALUE!</v>
      </c>
      <c r="H43" s="42" t="s">
        <v>200</v>
      </c>
      <c r="I43" s="38">
        <f>IF(COUNTBLANK(I23:I41)&lt;19,19-COUNTBLANK(I23:I41),"")</f>
        <v>1</v>
      </c>
      <c r="J43" s="38">
        <f t="shared" ref="J43:AM43" si="16">IF(COUNTBLANK(J23:J41)&lt;19,19-COUNTBLANK(J23:J41),"")</f>
        <v>10</v>
      </c>
      <c r="K43" s="38">
        <f t="shared" si="16"/>
        <v>10</v>
      </c>
      <c r="L43" s="38">
        <f t="shared" si="16"/>
        <v>10</v>
      </c>
      <c r="M43" s="38">
        <f t="shared" si="16"/>
        <v>10</v>
      </c>
      <c r="N43" s="38">
        <f t="shared" si="16"/>
        <v>10</v>
      </c>
      <c r="O43" s="38">
        <f t="shared" si="16"/>
        <v>10</v>
      </c>
      <c r="P43" s="38">
        <f t="shared" si="16"/>
        <v>10</v>
      </c>
      <c r="Q43" s="38">
        <f t="shared" si="16"/>
        <v>10</v>
      </c>
      <c r="R43" s="38">
        <f t="shared" si="16"/>
        <v>10</v>
      </c>
      <c r="S43" s="38">
        <f t="shared" si="16"/>
        <v>10</v>
      </c>
      <c r="T43" s="38">
        <f t="shared" si="16"/>
        <v>10</v>
      </c>
      <c r="U43" s="38">
        <f t="shared" si="16"/>
        <v>10</v>
      </c>
      <c r="V43" s="38">
        <f t="shared" si="16"/>
        <v>10</v>
      </c>
      <c r="W43" s="38">
        <f t="shared" si="16"/>
        <v>10</v>
      </c>
      <c r="X43" s="38">
        <f t="shared" si="16"/>
        <v>10</v>
      </c>
      <c r="Y43" s="38">
        <f t="shared" si="16"/>
        <v>10</v>
      </c>
      <c r="Z43" s="38">
        <f t="shared" si="16"/>
        <v>10</v>
      </c>
      <c r="AA43" s="38">
        <f t="shared" si="16"/>
        <v>10</v>
      </c>
      <c r="AB43" s="38">
        <f t="shared" si="16"/>
        <v>10</v>
      </c>
      <c r="AC43" s="38">
        <f t="shared" si="16"/>
        <v>10</v>
      </c>
      <c r="AD43" s="38">
        <f t="shared" si="16"/>
        <v>10</v>
      </c>
      <c r="AE43" s="38">
        <f t="shared" si="16"/>
        <v>10</v>
      </c>
      <c r="AF43" s="38">
        <f t="shared" si="16"/>
        <v>10</v>
      </c>
      <c r="AG43" s="38">
        <f t="shared" si="16"/>
        <v>10</v>
      </c>
      <c r="AH43" s="38">
        <f t="shared" si="16"/>
        <v>10</v>
      </c>
      <c r="AI43" s="38">
        <f t="shared" si="16"/>
        <v>10</v>
      </c>
      <c r="AJ43" s="38">
        <f t="shared" si="16"/>
        <v>10</v>
      </c>
      <c r="AK43" s="38">
        <f t="shared" si="16"/>
        <v>10</v>
      </c>
      <c r="AL43" s="38">
        <f t="shared" si="16"/>
        <v>10</v>
      </c>
      <c r="AM43" s="38">
        <f t="shared" si="16"/>
        <v>10</v>
      </c>
      <c r="AQ43" s="42" t="s">
        <v>200</v>
      </c>
      <c r="AR43" s="38" t="str">
        <f>IF(COUNTBLANK(AR23:AR41)&lt;19,19-COUNTBLANK(AR23:AR41),"")</f>
        <v/>
      </c>
      <c r="AS43" s="38">
        <f t="shared" ref="AS43:BV43" si="17">IF(COUNTBLANK(AS23:AS41)&lt;19,19-COUNTBLANK(AS23:AS41),"")</f>
        <v>10</v>
      </c>
      <c r="AT43" s="38">
        <f t="shared" si="17"/>
        <v>10</v>
      </c>
      <c r="AU43" s="38">
        <f t="shared" si="17"/>
        <v>10</v>
      </c>
      <c r="AV43" s="38">
        <f t="shared" si="17"/>
        <v>10</v>
      </c>
      <c r="AW43" s="38">
        <f t="shared" si="17"/>
        <v>10</v>
      </c>
      <c r="AX43" s="38">
        <f t="shared" si="17"/>
        <v>10</v>
      </c>
      <c r="AY43" s="38">
        <f t="shared" si="17"/>
        <v>10</v>
      </c>
      <c r="AZ43" s="38">
        <f t="shared" si="17"/>
        <v>10</v>
      </c>
      <c r="BA43" s="38">
        <f t="shared" si="17"/>
        <v>10</v>
      </c>
      <c r="BB43" s="38">
        <f t="shared" si="17"/>
        <v>10</v>
      </c>
      <c r="BC43" s="38">
        <f t="shared" si="17"/>
        <v>10</v>
      </c>
      <c r="BD43" s="38">
        <f t="shared" si="17"/>
        <v>10</v>
      </c>
      <c r="BE43" s="38">
        <f t="shared" si="17"/>
        <v>10</v>
      </c>
      <c r="BF43" s="38">
        <f t="shared" si="17"/>
        <v>10</v>
      </c>
      <c r="BG43" s="38">
        <f t="shared" si="17"/>
        <v>10</v>
      </c>
      <c r="BH43" s="38">
        <f t="shared" si="17"/>
        <v>10</v>
      </c>
      <c r="BI43" s="38">
        <f t="shared" si="17"/>
        <v>10</v>
      </c>
      <c r="BJ43" s="38">
        <f t="shared" si="17"/>
        <v>10</v>
      </c>
      <c r="BK43" s="38">
        <f t="shared" si="17"/>
        <v>10</v>
      </c>
      <c r="BL43" s="38">
        <f t="shared" si="17"/>
        <v>10</v>
      </c>
      <c r="BM43" s="38">
        <f t="shared" si="17"/>
        <v>10</v>
      </c>
      <c r="BN43" s="38">
        <f t="shared" si="17"/>
        <v>10</v>
      </c>
      <c r="BO43" s="38">
        <f t="shared" si="17"/>
        <v>10</v>
      </c>
      <c r="BP43" s="38">
        <f t="shared" si="17"/>
        <v>10</v>
      </c>
      <c r="BQ43" s="38">
        <f t="shared" si="17"/>
        <v>10</v>
      </c>
      <c r="BR43" s="38">
        <f t="shared" si="17"/>
        <v>10</v>
      </c>
      <c r="BS43" s="38">
        <f t="shared" si="17"/>
        <v>10</v>
      </c>
      <c r="BT43" s="38">
        <f t="shared" si="17"/>
        <v>10</v>
      </c>
      <c r="BU43" s="38">
        <f t="shared" si="17"/>
        <v>10</v>
      </c>
      <c r="BV43" s="38">
        <f t="shared" si="17"/>
        <v>10</v>
      </c>
    </row>
    <row r="44" spans="4:75" ht="15.75" thickBot="1">
      <c r="D44" s="17" t="s">
        <v>164</v>
      </c>
      <c r="E44"/>
      <c r="F44"/>
      <c r="G44"/>
      <c r="H44" s="135" t="s">
        <v>77</v>
      </c>
      <c r="I44" s="43" t="str">
        <f>IF(OR(I43=1,I43=""),"",SUM(IF(FREQUENCY(MATCH(I23:I41,I23:I41,0),MATCH(I23:I41,I23:I41,0))&gt;0,1))-1)</f>
        <v/>
      </c>
      <c r="J44" s="43" t="e">
        <f t="shared" ref="J44:AM44" si="18">IF(OR(J43=1,J43=""),"",SUM(IF(FREQUENCY(MATCH(J23:J41,J23:J41,0),MATCH(J23:J41,J23:J41,0))&gt;0,1))-1)</f>
        <v>#VALUE!</v>
      </c>
      <c r="K44" s="43" t="e">
        <f t="shared" si="18"/>
        <v>#VALUE!</v>
      </c>
      <c r="L44" s="43" t="e">
        <f t="shared" si="18"/>
        <v>#VALUE!</v>
      </c>
      <c r="M44" s="43" t="e">
        <f t="shared" si="18"/>
        <v>#VALUE!</v>
      </c>
      <c r="N44" s="43" t="e">
        <f t="shared" si="18"/>
        <v>#VALUE!</v>
      </c>
      <c r="O44" s="43" t="e">
        <f t="shared" si="18"/>
        <v>#VALUE!</v>
      </c>
      <c r="P44" s="43" t="e">
        <f t="shared" si="18"/>
        <v>#VALUE!</v>
      </c>
      <c r="Q44" s="43" t="e">
        <f t="shared" si="18"/>
        <v>#VALUE!</v>
      </c>
      <c r="R44" s="43" t="e">
        <f t="shared" si="18"/>
        <v>#VALUE!</v>
      </c>
      <c r="S44" s="43" t="e">
        <f t="shared" si="18"/>
        <v>#VALUE!</v>
      </c>
      <c r="T44" s="43" t="e">
        <f t="shared" si="18"/>
        <v>#VALUE!</v>
      </c>
      <c r="U44" s="43" t="e">
        <f t="shared" si="18"/>
        <v>#VALUE!</v>
      </c>
      <c r="V44" s="43" t="e">
        <f t="shared" si="18"/>
        <v>#VALUE!</v>
      </c>
      <c r="W44" s="43" t="e">
        <f t="shared" si="18"/>
        <v>#VALUE!</v>
      </c>
      <c r="X44" s="43" t="e">
        <f t="shared" si="18"/>
        <v>#VALUE!</v>
      </c>
      <c r="Y44" s="43" t="e">
        <f t="shared" si="18"/>
        <v>#VALUE!</v>
      </c>
      <c r="Z44" s="43" t="e">
        <f t="shared" si="18"/>
        <v>#VALUE!</v>
      </c>
      <c r="AA44" s="43" t="e">
        <f t="shared" si="18"/>
        <v>#VALUE!</v>
      </c>
      <c r="AB44" s="43" t="e">
        <f t="shared" si="18"/>
        <v>#VALUE!</v>
      </c>
      <c r="AC44" s="43" t="e">
        <f t="shared" si="18"/>
        <v>#VALUE!</v>
      </c>
      <c r="AD44" s="43" t="e">
        <f t="shared" si="18"/>
        <v>#VALUE!</v>
      </c>
      <c r="AE44" s="43" t="e">
        <f t="shared" si="18"/>
        <v>#VALUE!</v>
      </c>
      <c r="AF44" s="43" t="e">
        <f t="shared" si="18"/>
        <v>#VALUE!</v>
      </c>
      <c r="AG44" s="43" t="e">
        <f t="shared" si="18"/>
        <v>#VALUE!</v>
      </c>
      <c r="AH44" s="43" t="e">
        <f t="shared" si="18"/>
        <v>#VALUE!</v>
      </c>
      <c r="AI44" s="43" t="e">
        <f t="shared" si="18"/>
        <v>#VALUE!</v>
      </c>
      <c r="AJ44" s="43" t="e">
        <f t="shared" si="18"/>
        <v>#VALUE!</v>
      </c>
      <c r="AK44" s="43" t="e">
        <f t="shared" si="18"/>
        <v>#VALUE!</v>
      </c>
      <c r="AL44" s="43" t="e">
        <f t="shared" si="18"/>
        <v>#VALUE!</v>
      </c>
      <c r="AM44" s="43" t="e">
        <f t="shared" si="18"/>
        <v>#VALUE!</v>
      </c>
      <c r="AQ44" s="135" t="s">
        <v>201</v>
      </c>
      <c r="AR44" s="43" t="str">
        <f>IF(OR(AR43=1,AR43=""),"",SUM(IF(FREQUENCY(MATCH(AR23:AR41,AR23:AR41,0),MATCH(AR23:AR41,AR23:AR41,0))&gt;0,1))-1)</f>
        <v/>
      </c>
      <c r="AS44" s="43" t="e">
        <f t="shared" ref="AS44:BV44" si="19">IF(OR(AS43=1,AS43=""),"",SUM(IF(FREQUENCY(MATCH(AS23:AS41,AS23:AS41,0),MATCH(AS23:AS41,AS23:AS41,0))&gt;0,1))-1)</f>
        <v>#VALUE!</v>
      </c>
      <c r="AT44" s="43" t="e">
        <f t="shared" si="19"/>
        <v>#VALUE!</v>
      </c>
      <c r="AU44" s="43" t="e">
        <f t="shared" si="19"/>
        <v>#VALUE!</v>
      </c>
      <c r="AV44" s="43" t="e">
        <f t="shared" si="19"/>
        <v>#VALUE!</v>
      </c>
      <c r="AW44" s="43" t="e">
        <f t="shared" si="19"/>
        <v>#VALUE!</v>
      </c>
      <c r="AX44" s="43" t="e">
        <f t="shared" si="19"/>
        <v>#VALUE!</v>
      </c>
      <c r="AY44" s="43" t="e">
        <f t="shared" si="19"/>
        <v>#VALUE!</v>
      </c>
      <c r="AZ44" s="43" t="e">
        <f t="shared" si="19"/>
        <v>#VALUE!</v>
      </c>
      <c r="BA44" s="43" t="e">
        <f t="shared" si="19"/>
        <v>#VALUE!</v>
      </c>
      <c r="BB44" s="43" t="e">
        <f t="shared" si="19"/>
        <v>#VALUE!</v>
      </c>
      <c r="BC44" s="43" t="e">
        <f t="shared" si="19"/>
        <v>#VALUE!</v>
      </c>
      <c r="BD44" s="43" t="e">
        <f t="shared" si="19"/>
        <v>#VALUE!</v>
      </c>
      <c r="BE44" s="43" t="e">
        <f t="shared" si="19"/>
        <v>#VALUE!</v>
      </c>
      <c r="BF44" s="43" t="e">
        <f t="shared" si="19"/>
        <v>#VALUE!</v>
      </c>
      <c r="BG44" s="43" t="e">
        <f t="shared" si="19"/>
        <v>#VALUE!</v>
      </c>
      <c r="BH44" s="43" t="e">
        <f t="shared" si="19"/>
        <v>#VALUE!</v>
      </c>
      <c r="BI44" s="43" t="e">
        <f t="shared" si="19"/>
        <v>#VALUE!</v>
      </c>
      <c r="BJ44" s="43" t="e">
        <f t="shared" si="19"/>
        <v>#VALUE!</v>
      </c>
      <c r="BK44" s="43" t="e">
        <f t="shared" si="19"/>
        <v>#VALUE!</v>
      </c>
      <c r="BL44" s="43" t="e">
        <f t="shared" si="19"/>
        <v>#VALUE!</v>
      </c>
      <c r="BM44" s="43" t="e">
        <f t="shared" si="19"/>
        <v>#VALUE!</v>
      </c>
      <c r="BN44" s="43" t="e">
        <f t="shared" si="19"/>
        <v>#VALUE!</v>
      </c>
      <c r="BO44" s="43" t="e">
        <f t="shared" si="19"/>
        <v>#VALUE!</v>
      </c>
      <c r="BP44" s="43" t="e">
        <f t="shared" si="19"/>
        <v>#VALUE!</v>
      </c>
      <c r="BQ44" s="43" t="e">
        <f t="shared" si="19"/>
        <v>#VALUE!</v>
      </c>
      <c r="BR44" s="43" t="e">
        <f t="shared" si="19"/>
        <v>#VALUE!</v>
      </c>
      <c r="BS44" s="43" t="e">
        <f t="shared" si="19"/>
        <v>#VALUE!</v>
      </c>
      <c r="BT44" s="43" t="e">
        <f t="shared" si="19"/>
        <v>#VALUE!</v>
      </c>
      <c r="BU44" s="43" t="e">
        <f t="shared" si="19"/>
        <v>#VALUE!</v>
      </c>
      <c r="BV44" s="43" t="e">
        <f t="shared" si="19"/>
        <v>#VALUE!</v>
      </c>
    </row>
    <row r="45" spans="4:75" ht="14.25">
      <c r="D45" s="84" t="s">
        <v>130</v>
      </c>
      <c r="E45" s="90" t="s">
        <v>195</v>
      </c>
      <c r="F45" s="22">
        <f>SUM(I42:AM42)</f>
        <v>31</v>
      </c>
      <c r="G45"/>
      <c r="H45" s="136" t="s">
        <v>202</v>
      </c>
      <c r="I45" s="2">
        <f>IF(I44="",0,IF(I44&gt;1,1,0))</f>
        <v>0</v>
      </c>
      <c r="J45" s="2" t="e">
        <f t="shared" ref="J45:AM45" si="20">IF(J44="",0,IF(J44&gt;1,1,0))</f>
        <v>#VALUE!</v>
      </c>
      <c r="K45" s="2" t="e">
        <f t="shared" si="20"/>
        <v>#VALUE!</v>
      </c>
      <c r="L45" s="2" t="e">
        <f t="shared" si="20"/>
        <v>#VALUE!</v>
      </c>
      <c r="M45" s="2" t="e">
        <f t="shared" si="20"/>
        <v>#VALUE!</v>
      </c>
      <c r="N45" s="2" t="e">
        <f t="shared" si="20"/>
        <v>#VALUE!</v>
      </c>
      <c r="O45" s="2" t="e">
        <f t="shared" si="20"/>
        <v>#VALUE!</v>
      </c>
      <c r="P45" s="2" t="e">
        <f t="shared" si="20"/>
        <v>#VALUE!</v>
      </c>
      <c r="Q45" s="2" t="e">
        <f t="shared" si="20"/>
        <v>#VALUE!</v>
      </c>
      <c r="R45" s="2" t="e">
        <f t="shared" si="20"/>
        <v>#VALUE!</v>
      </c>
      <c r="S45" s="2" t="e">
        <f t="shared" si="20"/>
        <v>#VALUE!</v>
      </c>
      <c r="T45" s="2" t="e">
        <f t="shared" si="20"/>
        <v>#VALUE!</v>
      </c>
      <c r="U45" s="2" t="e">
        <f t="shared" si="20"/>
        <v>#VALUE!</v>
      </c>
      <c r="V45" s="2" t="e">
        <f t="shared" si="20"/>
        <v>#VALUE!</v>
      </c>
      <c r="W45" s="2" t="e">
        <f t="shared" si="20"/>
        <v>#VALUE!</v>
      </c>
      <c r="X45" s="2" t="e">
        <f t="shared" si="20"/>
        <v>#VALUE!</v>
      </c>
      <c r="Y45" s="2" t="e">
        <f t="shared" si="20"/>
        <v>#VALUE!</v>
      </c>
      <c r="Z45" s="2" t="e">
        <f t="shared" si="20"/>
        <v>#VALUE!</v>
      </c>
      <c r="AA45" s="2" t="e">
        <f t="shared" si="20"/>
        <v>#VALUE!</v>
      </c>
      <c r="AB45" s="2" t="e">
        <f t="shared" si="20"/>
        <v>#VALUE!</v>
      </c>
      <c r="AC45" s="2" t="e">
        <f t="shared" si="20"/>
        <v>#VALUE!</v>
      </c>
      <c r="AD45" s="2" t="e">
        <f t="shared" si="20"/>
        <v>#VALUE!</v>
      </c>
      <c r="AE45" s="2" t="e">
        <f t="shared" si="20"/>
        <v>#VALUE!</v>
      </c>
      <c r="AF45" s="2" t="e">
        <f t="shared" si="20"/>
        <v>#VALUE!</v>
      </c>
      <c r="AG45" s="2" t="e">
        <f t="shared" si="20"/>
        <v>#VALUE!</v>
      </c>
      <c r="AH45" s="2" t="e">
        <f t="shared" si="20"/>
        <v>#VALUE!</v>
      </c>
      <c r="AI45" s="2" t="e">
        <f t="shared" si="20"/>
        <v>#VALUE!</v>
      </c>
      <c r="AJ45" s="2" t="e">
        <f t="shared" si="20"/>
        <v>#VALUE!</v>
      </c>
      <c r="AK45" s="2" t="e">
        <f t="shared" si="20"/>
        <v>#VALUE!</v>
      </c>
      <c r="AL45" s="2" t="e">
        <f t="shared" si="20"/>
        <v>#VALUE!</v>
      </c>
      <c r="AM45" s="2" t="e">
        <f t="shared" si="20"/>
        <v>#VALUE!</v>
      </c>
      <c r="AN45" s="2">
        <f>COUNTIF(I45:AM45,"SI")</f>
        <v>0</v>
      </c>
      <c r="AQ45" s="136" t="s">
        <v>202</v>
      </c>
      <c r="AR45" s="2">
        <f>IF(AR44="",0,IF(AR44&gt;1,1,0))</f>
        <v>0</v>
      </c>
      <c r="AS45" s="2" t="e">
        <f t="shared" ref="AS45:BV45" si="21">IF(AS44="",0,IF(AS44&gt;1,1,0))</f>
        <v>#VALUE!</v>
      </c>
      <c r="AT45" s="2" t="e">
        <f t="shared" si="21"/>
        <v>#VALUE!</v>
      </c>
      <c r="AU45" s="2" t="e">
        <f t="shared" si="21"/>
        <v>#VALUE!</v>
      </c>
      <c r="AV45" s="2" t="e">
        <f t="shared" si="21"/>
        <v>#VALUE!</v>
      </c>
      <c r="AW45" s="2" t="e">
        <f t="shared" si="21"/>
        <v>#VALUE!</v>
      </c>
      <c r="AX45" s="2" t="e">
        <f t="shared" si="21"/>
        <v>#VALUE!</v>
      </c>
      <c r="AY45" s="2" t="e">
        <f t="shared" si="21"/>
        <v>#VALUE!</v>
      </c>
      <c r="AZ45" s="2" t="e">
        <f t="shared" si="21"/>
        <v>#VALUE!</v>
      </c>
      <c r="BA45" s="2" t="e">
        <f t="shared" si="21"/>
        <v>#VALUE!</v>
      </c>
      <c r="BB45" s="2" t="e">
        <f t="shared" si="21"/>
        <v>#VALUE!</v>
      </c>
      <c r="BC45" s="2" t="e">
        <f t="shared" si="21"/>
        <v>#VALUE!</v>
      </c>
      <c r="BD45" s="2" t="e">
        <f t="shared" si="21"/>
        <v>#VALUE!</v>
      </c>
      <c r="BE45" s="2" t="e">
        <f t="shared" si="21"/>
        <v>#VALUE!</v>
      </c>
      <c r="BF45" s="2" t="e">
        <f t="shared" si="21"/>
        <v>#VALUE!</v>
      </c>
      <c r="BG45" s="2" t="e">
        <f t="shared" si="21"/>
        <v>#VALUE!</v>
      </c>
      <c r="BH45" s="2" t="e">
        <f t="shared" si="21"/>
        <v>#VALUE!</v>
      </c>
      <c r="BI45" s="2" t="e">
        <f t="shared" si="21"/>
        <v>#VALUE!</v>
      </c>
      <c r="BJ45" s="2" t="e">
        <f t="shared" si="21"/>
        <v>#VALUE!</v>
      </c>
      <c r="BK45" s="2" t="e">
        <f t="shared" si="21"/>
        <v>#VALUE!</v>
      </c>
      <c r="BL45" s="2" t="e">
        <f t="shared" si="21"/>
        <v>#VALUE!</v>
      </c>
      <c r="BM45" s="2" t="e">
        <f t="shared" si="21"/>
        <v>#VALUE!</v>
      </c>
      <c r="BN45" s="2" t="e">
        <f t="shared" si="21"/>
        <v>#VALUE!</v>
      </c>
      <c r="BO45" s="2" t="e">
        <f t="shared" si="21"/>
        <v>#VALUE!</v>
      </c>
      <c r="BP45" s="2" t="e">
        <f t="shared" si="21"/>
        <v>#VALUE!</v>
      </c>
      <c r="BQ45" s="2" t="e">
        <f t="shared" si="21"/>
        <v>#VALUE!</v>
      </c>
      <c r="BR45" s="2" t="e">
        <f t="shared" si="21"/>
        <v>#VALUE!</v>
      </c>
      <c r="BS45" s="2" t="e">
        <f t="shared" si="21"/>
        <v>#VALUE!</v>
      </c>
      <c r="BT45" s="2" t="e">
        <f t="shared" si="21"/>
        <v>#VALUE!</v>
      </c>
      <c r="BU45" s="2" t="e">
        <f t="shared" si="21"/>
        <v>#VALUE!</v>
      </c>
      <c r="BV45" s="2" t="e">
        <f t="shared" si="21"/>
        <v>#VALUE!</v>
      </c>
      <c r="BW45" s="2">
        <f>COUNTIF(AR45:BV45,"SI")</f>
        <v>0</v>
      </c>
    </row>
    <row r="46" spans="4:75" ht="16.5">
      <c r="D46" s="84" t="s">
        <v>138</v>
      </c>
      <c r="E46" s="90" t="s">
        <v>196</v>
      </c>
      <c r="F46" s="22">
        <f>589-COUNTIF(I23:AM41,"")</f>
        <v>301</v>
      </c>
      <c r="G46"/>
      <c r="H46"/>
      <c r="I46" s="34">
        <v>9</v>
      </c>
      <c r="J46">
        <v>10</v>
      </c>
      <c r="K46" s="34">
        <v>11</v>
      </c>
      <c r="L46">
        <v>12</v>
      </c>
      <c r="M46" s="34">
        <v>13</v>
      </c>
      <c r="N46">
        <v>14</v>
      </c>
      <c r="O46" s="34">
        <v>15</v>
      </c>
      <c r="P46">
        <v>16</v>
      </c>
      <c r="Q46" s="34">
        <v>17</v>
      </c>
      <c r="R46">
        <v>18</v>
      </c>
      <c r="S46" s="34">
        <v>19</v>
      </c>
      <c r="T46">
        <v>20</v>
      </c>
      <c r="U46" s="34">
        <v>21</v>
      </c>
      <c r="V46">
        <v>22</v>
      </c>
      <c r="W46" s="34">
        <v>23</v>
      </c>
      <c r="X46">
        <v>24</v>
      </c>
      <c r="Y46" s="34">
        <v>25</v>
      </c>
      <c r="Z46">
        <v>26</v>
      </c>
      <c r="AA46" s="34">
        <v>27</v>
      </c>
      <c r="AB46">
        <v>28</v>
      </c>
      <c r="AC46" s="34">
        <v>29</v>
      </c>
      <c r="AD46">
        <v>30</v>
      </c>
      <c r="AE46" s="34">
        <v>31</v>
      </c>
      <c r="AF46">
        <v>32</v>
      </c>
      <c r="AG46" s="34">
        <v>33</v>
      </c>
      <c r="AH46">
        <v>34</v>
      </c>
      <c r="AI46" s="34">
        <v>35</v>
      </c>
      <c r="AJ46">
        <v>36</v>
      </c>
      <c r="AK46" s="34">
        <v>37</v>
      </c>
      <c r="AL46">
        <v>38</v>
      </c>
      <c r="AM46" s="34">
        <v>39</v>
      </c>
      <c r="AN46"/>
      <c r="AO46" s="34"/>
      <c r="AP46"/>
      <c r="AQ46" s="34">
        <v>43</v>
      </c>
      <c r="AR46">
        <v>44</v>
      </c>
      <c r="AS46" s="34">
        <v>45</v>
      </c>
      <c r="AT46">
        <v>46</v>
      </c>
      <c r="AU46" s="34">
        <v>47</v>
      </c>
      <c r="AV46">
        <v>48</v>
      </c>
      <c r="AW46" s="34">
        <v>49</v>
      </c>
      <c r="AX46">
        <v>50</v>
      </c>
      <c r="AY46" s="34">
        <v>51</v>
      </c>
      <c r="AZ46">
        <v>52</v>
      </c>
      <c r="BA46" s="34">
        <v>53</v>
      </c>
      <c r="BB46">
        <v>54</v>
      </c>
      <c r="BC46" s="34">
        <v>55</v>
      </c>
      <c r="BD46">
        <v>56</v>
      </c>
      <c r="BE46" s="34">
        <v>57</v>
      </c>
      <c r="BF46">
        <v>58</v>
      </c>
      <c r="BG46" s="34">
        <v>59</v>
      </c>
      <c r="BH46">
        <v>60</v>
      </c>
      <c r="BI46" s="34">
        <v>61</v>
      </c>
      <c r="BJ46">
        <v>62</v>
      </c>
      <c r="BK46" s="34">
        <v>63</v>
      </c>
      <c r="BL46">
        <v>64</v>
      </c>
      <c r="BM46" s="34">
        <v>65</v>
      </c>
      <c r="BN46">
        <v>66</v>
      </c>
      <c r="BO46" s="34">
        <v>67</v>
      </c>
      <c r="BP46">
        <v>68</v>
      </c>
      <c r="BQ46" s="34">
        <v>69</v>
      </c>
      <c r="BR46">
        <v>70</v>
      </c>
      <c r="BS46" s="34">
        <v>71</v>
      </c>
      <c r="BT46">
        <v>72</v>
      </c>
      <c r="BU46" s="34">
        <v>73</v>
      </c>
      <c r="BV46">
        <v>74</v>
      </c>
    </row>
    <row r="47" spans="4:75" ht="16.5">
      <c r="D47" s="17" t="s">
        <v>159</v>
      </c>
      <c r="G47"/>
      <c r="H47"/>
      <c r="I47" s="34"/>
      <c r="J47"/>
      <c r="K47" s="34"/>
      <c r="L47"/>
      <c r="M47" s="34"/>
      <c r="N47"/>
      <c r="O47" s="34"/>
      <c r="P47"/>
      <c r="Q47" s="34"/>
      <c r="R47"/>
      <c r="S47" s="34"/>
      <c r="T47"/>
      <c r="U47" s="34"/>
      <c r="V47"/>
      <c r="W47" s="34"/>
      <c r="X47"/>
      <c r="Y47" s="34"/>
      <c r="Z47"/>
      <c r="AA47" s="34"/>
      <c r="AB47"/>
      <c r="AC47" s="34"/>
      <c r="AD47"/>
      <c r="AE47" s="34"/>
      <c r="AF47"/>
      <c r="AG47" s="34"/>
      <c r="AH47"/>
      <c r="AI47" s="34"/>
      <c r="AJ47"/>
      <c r="AK47" s="34"/>
      <c r="AL47"/>
      <c r="AM47" s="34"/>
      <c r="AN47"/>
      <c r="AO47" s="34"/>
      <c r="AP47"/>
      <c r="AQ47" s="34"/>
      <c r="AR47"/>
      <c r="AS47" s="34"/>
      <c r="AT47"/>
      <c r="AU47" s="34"/>
      <c r="AV47"/>
      <c r="AW47" s="34"/>
      <c r="AX47"/>
      <c r="AY47" s="34"/>
      <c r="AZ47"/>
      <c r="BA47" s="34"/>
      <c r="BB47"/>
      <c r="BC47" s="34"/>
      <c r="BD47"/>
      <c r="BE47" s="34"/>
      <c r="BF47"/>
      <c r="BG47" s="34"/>
      <c r="BH47"/>
      <c r="BI47" s="34"/>
      <c r="BJ47"/>
      <c r="BK47" s="34"/>
      <c r="BL47"/>
      <c r="BM47" s="34"/>
      <c r="BN47"/>
      <c r="BO47" s="34"/>
      <c r="BP47"/>
      <c r="BQ47" s="34"/>
      <c r="BR47"/>
      <c r="BS47" s="34"/>
      <c r="BT47"/>
      <c r="BU47" s="34"/>
      <c r="BV47"/>
    </row>
    <row r="48" spans="4:75">
      <c r="D48" s="84" t="s">
        <v>148</v>
      </c>
    </row>
    <row r="49" spans="4:9">
      <c r="D49" s="84" t="s">
        <v>82</v>
      </c>
    </row>
    <row r="50" spans="4:9" ht="13.5" thickBot="1">
      <c r="D50" s="84" t="s">
        <v>415</v>
      </c>
    </row>
    <row r="51" spans="4:9">
      <c r="D51" s="84" t="s">
        <v>408</v>
      </c>
      <c r="F51" s="163" t="s">
        <v>31</v>
      </c>
      <c r="G51" s="164"/>
      <c r="H51" s="164"/>
      <c r="I51" s="165"/>
    </row>
    <row r="52" spans="4:9" ht="13.5" thickBot="1">
      <c r="D52" s="84" t="s">
        <v>561</v>
      </c>
      <c r="F52" s="166"/>
      <c r="G52" s="167"/>
      <c r="H52" s="167"/>
      <c r="I52" s="168"/>
    </row>
    <row r="53" spans="4:9">
      <c r="D53" s="84" t="s">
        <v>112</v>
      </c>
      <c r="F53" s="137" t="s">
        <v>40</v>
      </c>
      <c r="G53" s="138"/>
      <c r="H53" s="139" t="s">
        <v>35</v>
      </c>
      <c r="I53" s="140" t="s">
        <v>55</v>
      </c>
    </row>
    <row r="54" spans="4:9">
      <c r="D54" s="84" t="s">
        <v>147</v>
      </c>
      <c r="F54" s="141" t="s">
        <v>39</v>
      </c>
      <c r="G54" s="142" t="s">
        <v>26</v>
      </c>
      <c r="H54" s="143" t="s">
        <v>34</v>
      </c>
      <c r="I54" s="144" t="s">
        <v>3</v>
      </c>
    </row>
    <row r="55" spans="4:9">
      <c r="D55" s="84" t="s">
        <v>105</v>
      </c>
      <c r="F55" s="141" t="s">
        <v>38</v>
      </c>
      <c r="G55" s="142" t="s">
        <v>27</v>
      </c>
      <c r="H55" s="143" t="s">
        <v>33</v>
      </c>
      <c r="I55" s="144" t="s">
        <v>2</v>
      </c>
    </row>
    <row r="56" spans="4:9">
      <c r="D56" s="84" t="s">
        <v>84</v>
      </c>
      <c r="F56" s="141" t="s">
        <v>37</v>
      </c>
      <c r="G56" s="142" t="s">
        <v>28</v>
      </c>
      <c r="H56" s="143" t="s">
        <v>32</v>
      </c>
      <c r="I56" s="144" t="s">
        <v>1</v>
      </c>
    </row>
    <row r="57" spans="4:9" ht="13.5" thickBot="1">
      <c r="D57" s="84" t="s">
        <v>83</v>
      </c>
      <c r="F57" s="145" t="s">
        <v>36</v>
      </c>
      <c r="G57" s="146" t="s">
        <v>29</v>
      </c>
      <c r="H57" s="147" t="s">
        <v>0</v>
      </c>
      <c r="I57" s="13"/>
    </row>
    <row r="58" spans="4:9">
      <c r="D58" s="84" t="s">
        <v>85</v>
      </c>
      <c r="F58" s="148"/>
      <c r="G58" s="149"/>
      <c r="H58" s="150"/>
      <c r="I58" s="16"/>
    </row>
    <row r="59" spans="4:9">
      <c r="D59" s="84" t="s">
        <v>86</v>
      </c>
      <c r="F59" s="148"/>
      <c r="G59" s="149"/>
      <c r="H59" s="150"/>
      <c r="I59" s="16"/>
    </row>
    <row r="60" spans="4:9">
      <c r="D60" s="84" t="s">
        <v>170</v>
      </c>
      <c r="F60" s="148"/>
      <c r="G60" s="149"/>
      <c r="H60" s="150"/>
      <c r="I60" s="16"/>
    </row>
    <row r="61" spans="4:9">
      <c r="D61" s="84" t="s">
        <v>409</v>
      </c>
      <c r="F61" s="148"/>
      <c r="G61" s="149"/>
      <c r="H61" s="150"/>
      <c r="I61" s="16"/>
    </row>
    <row r="62" spans="4:9">
      <c r="D62" s="84" t="s">
        <v>132</v>
      </c>
      <c r="F62" s="148"/>
      <c r="G62" s="149"/>
      <c r="H62" s="150"/>
      <c r="I62" s="16"/>
    </row>
    <row r="63" spans="4:9">
      <c r="D63" s="84" t="s">
        <v>80</v>
      </c>
      <c r="F63" s="148"/>
      <c r="G63" s="149"/>
      <c r="H63" s="150"/>
      <c r="I63" s="16"/>
    </row>
    <row r="64" spans="4:9">
      <c r="D64" s="84" t="s">
        <v>81</v>
      </c>
      <c r="F64" s="148"/>
      <c r="G64" s="149"/>
      <c r="H64" s="150"/>
      <c r="I64" s="16"/>
    </row>
    <row r="65" spans="4:9">
      <c r="D65" s="84" t="s">
        <v>128</v>
      </c>
      <c r="E65" s="8"/>
      <c r="F65" s="148"/>
      <c r="G65" s="149"/>
      <c r="H65" s="150"/>
      <c r="I65" s="16"/>
    </row>
    <row r="66" spans="4:9">
      <c r="D66" s="84" t="s">
        <v>108</v>
      </c>
      <c r="E66" s="8"/>
      <c r="F66" s="148"/>
      <c r="G66" s="149"/>
      <c r="H66" s="150"/>
      <c r="I66" s="16"/>
    </row>
    <row r="67" spans="4:9" ht="13.5" thickBot="1">
      <c r="D67" s="84" t="s">
        <v>117</v>
      </c>
      <c r="E67" s="8"/>
      <c r="F67" s="148"/>
      <c r="G67" s="149"/>
      <c r="H67" s="150"/>
      <c r="I67" s="16"/>
    </row>
    <row r="68" spans="4:9">
      <c r="D68" s="84" t="s">
        <v>122</v>
      </c>
      <c r="F68" s="151" t="s">
        <v>35</v>
      </c>
      <c r="G68" s="139"/>
      <c r="H68" s="151" t="s">
        <v>40</v>
      </c>
      <c r="I68" s="152" t="s">
        <v>55</v>
      </c>
    </row>
    <row r="69" spans="4:9">
      <c r="D69" s="84" t="s">
        <v>109</v>
      </c>
      <c r="F69" s="141" t="s">
        <v>34</v>
      </c>
      <c r="G69" s="143" t="s">
        <v>26</v>
      </c>
      <c r="H69" s="141" t="s">
        <v>39</v>
      </c>
      <c r="I69" s="144" t="s">
        <v>3</v>
      </c>
    </row>
    <row r="70" spans="4:9">
      <c r="D70" s="84" t="s">
        <v>116</v>
      </c>
      <c r="F70" s="141" t="s">
        <v>33</v>
      </c>
      <c r="G70" s="143" t="s">
        <v>27</v>
      </c>
      <c r="H70" s="141" t="s">
        <v>38</v>
      </c>
      <c r="I70" s="144" t="s">
        <v>2</v>
      </c>
    </row>
    <row r="71" spans="4:9" ht="13.5" thickBot="1">
      <c r="D71" s="84" t="s">
        <v>142</v>
      </c>
      <c r="E71" s="8"/>
      <c r="F71" s="141" t="s">
        <v>32</v>
      </c>
      <c r="G71" s="153" t="s">
        <v>28</v>
      </c>
      <c r="H71" s="141" t="s">
        <v>37</v>
      </c>
      <c r="I71" s="144" t="s">
        <v>1</v>
      </c>
    </row>
    <row r="72" spans="4:9" ht="15">
      <c r="D72" s="17" t="s">
        <v>1103</v>
      </c>
      <c r="E72" s="8"/>
      <c r="F72" s="137" t="s">
        <v>26</v>
      </c>
      <c r="G72" s="139" t="s">
        <v>3</v>
      </c>
      <c r="H72" s="139" t="s">
        <v>39</v>
      </c>
      <c r="I72" s="140" t="s">
        <v>34</v>
      </c>
    </row>
    <row r="73" spans="4:9" ht="15">
      <c r="D73" s="17" t="s">
        <v>160</v>
      </c>
      <c r="F73" s="141" t="s">
        <v>27</v>
      </c>
      <c r="G73" s="143" t="s">
        <v>2</v>
      </c>
      <c r="H73" s="143" t="s">
        <v>38</v>
      </c>
      <c r="I73" s="144" t="s">
        <v>33</v>
      </c>
    </row>
    <row r="74" spans="4:9">
      <c r="D74" s="84" t="s">
        <v>152</v>
      </c>
      <c r="F74" s="141" t="s">
        <v>28</v>
      </c>
      <c r="G74" s="143" t="s">
        <v>1</v>
      </c>
      <c r="H74" s="143" t="s">
        <v>37</v>
      </c>
      <c r="I74" s="144" t="s">
        <v>32</v>
      </c>
    </row>
    <row r="75" spans="4:9" ht="13.5" thickBot="1">
      <c r="D75" s="84" t="s">
        <v>131</v>
      </c>
      <c r="F75" s="145" t="s">
        <v>29</v>
      </c>
      <c r="G75" s="154" t="s">
        <v>0</v>
      </c>
      <c r="H75" s="154" t="s">
        <v>36</v>
      </c>
      <c r="I75" s="155"/>
    </row>
    <row r="76" spans="4:9">
      <c r="D76" s="84" t="s">
        <v>115</v>
      </c>
      <c r="F76" s="156" t="s">
        <v>55</v>
      </c>
      <c r="G76" s="157"/>
      <c r="H76" s="137" t="s">
        <v>40</v>
      </c>
      <c r="I76" s="140" t="s">
        <v>35</v>
      </c>
    </row>
    <row r="77" spans="4:9">
      <c r="D77" s="84" t="s">
        <v>134</v>
      </c>
      <c r="F77" s="158" t="s">
        <v>3</v>
      </c>
      <c r="G77" s="159" t="s">
        <v>26</v>
      </c>
      <c r="H77" s="141" t="s">
        <v>39</v>
      </c>
      <c r="I77" s="144" t="s">
        <v>34</v>
      </c>
    </row>
    <row r="78" spans="4:9">
      <c r="D78" s="84" t="s">
        <v>133</v>
      </c>
      <c r="F78" s="158" t="s">
        <v>2</v>
      </c>
      <c r="G78" s="142" t="s">
        <v>27</v>
      </c>
      <c r="H78" s="141" t="s">
        <v>38</v>
      </c>
      <c r="I78" s="144" t="s">
        <v>33</v>
      </c>
    </row>
    <row r="79" spans="4:9">
      <c r="D79" s="84" t="s">
        <v>143</v>
      </c>
      <c r="E79" s="8"/>
      <c r="F79" s="158" t="s">
        <v>1</v>
      </c>
      <c r="G79" s="142" t="s">
        <v>28</v>
      </c>
      <c r="H79" s="141" t="s">
        <v>37</v>
      </c>
      <c r="I79" s="144" t="s">
        <v>32</v>
      </c>
    </row>
    <row r="80" spans="4:9" ht="13.5" thickBot="1">
      <c r="D80" s="84" t="s">
        <v>135</v>
      </c>
      <c r="F80" s="160" t="s">
        <v>0</v>
      </c>
      <c r="G80" s="147" t="s">
        <v>29</v>
      </c>
      <c r="H80" s="145" t="s">
        <v>36</v>
      </c>
      <c r="I80" s="9"/>
    </row>
    <row r="81" spans="4:4">
      <c r="D81" s="84" t="s">
        <v>114</v>
      </c>
    </row>
    <row r="82" spans="4:4">
      <c r="D82" s="84" t="s">
        <v>423</v>
      </c>
    </row>
    <row r="83" spans="4:4" ht="15">
      <c r="D83" s="17" t="s">
        <v>162</v>
      </c>
    </row>
    <row r="84" spans="4:4">
      <c r="D84" s="84" t="s">
        <v>118</v>
      </c>
    </row>
    <row r="85" spans="4:4">
      <c r="D85" s="84" t="s">
        <v>140</v>
      </c>
    </row>
    <row r="86" spans="4:4" ht="13.5" thickBot="1">
      <c r="D86" s="161" t="s">
        <v>125</v>
      </c>
    </row>
  </sheetData>
  <sortState xmlns:xlrd2="http://schemas.microsoft.com/office/spreadsheetml/2017/richdata2" ref="D2:D80">
    <sortCondition ref="D2"/>
  </sortState>
  <mergeCells count="2">
    <mergeCell ref="F51:I51"/>
    <mergeCell ref="F52:I52"/>
  </mergeCells>
  <phoneticPr fontId="11" type="noConversion"/>
  <conditionalFormatting sqref="I23:AM41">
    <cfRule type="cellIs" dxfId="21" priority="1" operator="notEqual">
      <formula>""</formula>
    </cfRule>
  </conditionalFormatting>
  <conditionalFormatting sqref="AR23:BV41">
    <cfRule type="cellIs" dxfId="20" priority="2" operator="notEqual">
      <formula>""</formula>
    </cfRule>
  </conditionalFormatting>
  <pageMargins left="0.75" right="0.75" top="1" bottom="1" header="0.5" footer="0.5"/>
  <pageSetup orientation="portrait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AX1855"/>
  <sheetViews>
    <sheetView topLeftCell="A40" workbookViewId="0">
      <selection activeCell="B19" sqref="B19"/>
    </sheetView>
  </sheetViews>
  <sheetFormatPr defaultColWidth="8.5703125" defaultRowHeight="12.75"/>
  <cols>
    <col min="1" max="16384" width="8.5703125" style="192"/>
  </cols>
  <sheetData>
    <row r="1" spans="2:47">
      <c r="H1" s="193"/>
      <c r="I1" s="193"/>
      <c r="J1" s="193"/>
      <c r="K1" s="193"/>
      <c r="L1" s="193"/>
      <c r="M1" s="193"/>
      <c r="N1" s="193"/>
      <c r="O1" s="193"/>
      <c r="P1" s="193"/>
    </row>
    <row r="2" spans="2:47">
      <c r="B2" s="194"/>
      <c r="C2" s="194"/>
      <c r="D2" s="194">
        <v>1.0582</v>
      </c>
    </row>
    <row r="3" spans="2:47">
      <c r="B3" s="194">
        <v>0.85</v>
      </c>
      <c r="C3" s="194">
        <v>2</v>
      </c>
      <c r="D3" s="194">
        <v>3</v>
      </c>
      <c r="E3" s="192">
        <v>4</v>
      </c>
      <c r="F3" s="192">
        <v>5</v>
      </c>
      <c r="G3" s="192">
        <v>6</v>
      </c>
      <c r="H3" s="192">
        <v>7</v>
      </c>
      <c r="I3" s="192">
        <v>8</v>
      </c>
      <c r="J3" s="192">
        <v>9</v>
      </c>
      <c r="K3" s="192">
        <v>10</v>
      </c>
      <c r="L3" s="192">
        <v>11</v>
      </c>
      <c r="M3" s="192">
        <v>12</v>
      </c>
      <c r="N3" s="192">
        <v>13</v>
      </c>
      <c r="O3" s="192">
        <v>14</v>
      </c>
      <c r="P3" s="192">
        <v>15</v>
      </c>
      <c r="Q3" s="192">
        <v>16</v>
      </c>
      <c r="R3" s="192">
        <v>17</v>
      </c>
      <c r="S3" s="192">
        <v>18</v>
      </c>
      <c r="T3" s="192">
        <v>19</v>
      </c>
      <c r="U3" s="192">
        <v>20</v>
      </c>
      <c r="V3" s="192">
        <v>21</v>
      </c>
      <c r="W3" s="192">
        <v>22</v>
      </c>
      <c r="X3" s="192">
        <v>23</v>
      </c>
      <c r="Y3" s="192">
        <v>24</v>
      </c>
      <c r="Z3" s="192">
        <v>25</v>
      </c>
      <c r="AA3" s="192">
        <v>26</v>
      </c>
      <c r="AB3" s="192">
        <v>27</v>
      </c>
      <c r="AC3" s="192">
        <v>28</v>
      </c>
      <c r="AD3" s="192">
        <v>29</v>
      </c>
      <c r="AE3" s="192">
        <v>30</v>
      </c>
      <c r="AF3" s="192">
        <v>31</v>
      </c>
      <c r="AG3" s="192">
        <v>32</v>
      </c>
      <c r="AH3" s="192">
        <v>33</v>
      </c>
      <c r="AI3" s="192">
        <v>34</v>
      </c>
      <c r="AJ3" s="192">
        <v>35</v>
      </c>
      <c r="AK3" s="192">
        <v>36</v>
      </c>
      <c r="AL3" s="192">
        <v>37</v>
      </c>
      <c r="AM3" s="192">
        <v>38</v>
      </c>
      <c r="AN3" s="192">
        <v>39</v>
      </c>
      <c r="AO3" s="192">
        <v>40</v>
      </c>
      <c r="AP3" s="192">
        <v>41</v>
      </c>
      <c r="AQ3" s="192">
        <v>42</v>
      </c>
    </row>
    <row r="4" spans="2:47">
      <c r="B4" s="194" t="s">
        <v>94</v>
      </c>
      <c r="C4" s="194" t="s">
        <v>276</v>
      </c>
      <c r="D4" s="194" t="s">
        <v>275</v>
      </c>
      <c r="E4" s="194" t="s">
        <v>274</v>
      </c>
      <c r="F4" s="194" t="s">
        <v>273</v>
      </c>
      <c r="G4" s="194" t="s">
        <v>272</v>
      </c>
      <c r="H4" s="194" t="s">
        <v>271</v>
      </c>
      <c r="I4" s="194" t="s">
        <v>270</v>
      </c>
      <c r="J4" s="194" t="s">
        <v>567</v>
      </c>
      <c r="K4" s="194" t="s">
        <v>269</v>
      </c>
      <c r="L4" s="194" t="s">
        <v>268</v>
      </c>
      <c r="M4" s="194" t="s">
        <v>267</v>
      </c>
      <c r="N4" s="194" t="s">
        <v>266</v>
      </c>
      <c r="O4" s="194" t="s">
        <v>265</v>
      </c>
      <c r="P4" s="194" t="s">
        <v>264</v>
      </c>
      <c r="Q4" s="194" t="s">
        <v>263</v>
      </c>
      <c r="R4" s="194" t="s">
        <v>262</v>
      </c>
      <c r="S4" s="194" t="s">
        <v>261</v>
      </c>
      <c r="T4" s="194" t="s">
        <v>260</v>
      </c>
      <c r="U4" s="194" t="s">
        <v>259</v>
      </c>
      <c r="V4" s="194" t="s">
        <v>258</v>
      </c>
      <c r="W4" s="194" t="s">
        <v>257</v>
      </c>
      <c r="X4" s="194" t="s">
        <v>256</v>
      </c>
      <c r="Y4" s="194" t="s">
        <v>255</v>
      </c>
      <c r="Z4" s="194" t="s">
        <v>254</v>
      </c>
      <c r="AA4" s="194" t="s">
        <v>253</v>
      </c>
      <c r="AB4" s="194" t="s">
        <v>252</v>
      </c>
      <c r="AC4" s="194" t="s">
        <v>251</v>
      </c>
      <c r="AD4" s="194" t="s">
        <v>1104</v>
      </c>
      <c r="AE4" s="194" t="s">
        <v>250</v>
      </c>
      <c r="AF4" s="194" t="s">
        <v>220</v>
      </c>
      <c r="AG4" s="194" t="s">
        <v>219</v>
      </c>
      <c r="AH4" s="194" t="s">
        <v>218</v>
      </c>
      <c r="AI4" s="194" t="s">
        <v>217</v>
      </c>
      <c r="AJ4" s="194" t="s">
        <v>216</v>
      </c>
      <c r="AK4" s="194" t="s">
        <v>215</v>
      </c>
      <c r="AL4" s="194" t="s">
        <v>214</v>
      </c>
      <c r="AM4" s="194" t="s">
        <v>213</v>
      </c>
      <c r="AN4" s="194" t="s">
        <v>407</v>
      </c>
      <c r="AO4" s="194" t="s">
        <v>505</v>
      </c>
      <c r="AP4" s="194" t="s">
        <v>414</v>
      </c>
      <c r="AQ4" s="194" t="s">
        <v>532</v>
      </c>
      <c r="AT4" s="194" t="s">
        <v>249</v>
      </c>
      <c r="AU4" s="192">
        <v>2</v>
      </c>
    </row>
    <row r="5" spans="2:47">
      <c r="B5" s="194" t="s">
        <v>207</v>
      </c>
      <c r="C5" s="194">
        <v>85000</v>
      </c>
      <c r="D5" s="194">
        <v>85000</v>
      </c>
      <c r="E5" s="195">
        <v>95000</v>
      </c>
      <c r="F5" s="195">
        <v>95000</v>
      </c>
      <c r="G5" s="195">
        <v>105000</v>
      </c>
      <c r="H5" s="195">
        <v>105000</v>
      </c>
      <c r="I5" s="195">
        <v>105000</v>
      </c>
      <c r="J5" s="195">
        <v>180000</v>
      </c>
      <c r="K5" s="195">
        <v>105000</v>
      </c>
      <c r="L5" s="195">
        <v>115000</v>
      </c>
      <c r="M5" s="195">
        <v>105000</v>
      </c>
      <c r="N5" s="195">
        <v>105000</v>
      </c>
      <c r="O5" s="195">
        <v>105000</v>
      </c>
      <c r="P5" s="195">
        <v>115000</v>
      </c>
      <c r="Q5" s="195">
        <v>115000</v>
      </c>
      <c r="R5" s="195">
        <v>115000</v>
      </c>
      <c r="S5" s="195">
        <v>85000</v>
      </c>
      <c r="T5" s="195">
        <v>95000</v>
      </c>
      <c r="U5" s="195">
        <v>105000</v>
      </c>
      <c r="V5" s="195">
        <v>105000</v>
      </c>
      <c r="W5" s="195">
        <v>105000</v>
      </c>
      <c r="X5" s="195">
        <v>115000</v>
      </c>
      <c r="Y5" s="195">
        <v>105000</v>
      </c>
      <c r="Z5" s="195">
        <v>115000</v>
      </c>
      <c r="AA5" s="195">
        <v>115000</v>
      </c>
      <c r="AB5" s="195">
        <v>0</v>
      </c>
      <c r="AC5" s="195">
        <v>80000</v>
      </c>
      <c r="AD5" s="195">
        <v>0</v>
      </c>
      <c r="AE5" s="195">
        <v>0</v>
      </c>
      <c r="AF5" s="195">
        <v>85000</v>
      </c>
      <c r="AG5" s="195">
        <v>130000</v>
      </c>
      <c r="AH5" s="195">
        <v>180000</v>
      </c>
      <c r="AI5" s="195">
        <v>220000</v>
      </c>
      <c r="AJ5" s="195">
        <v>250000</v>
      </c>
      <c r="AK5" s="195">
        <v>290000</v>
      </c>
      <c r="AL5" s="195">
        <v>85000</v>
      </c>
      <c r="AM5" s="195">
        <v>80000</v>
      </c>
      <c r="AN5" s="195">
        <v>105000</v>
      </c>
      <c r="AO5" s="195">
        <v>80000</v>
      </c>
      <c r="AP5" s="195">
        <v>0</v>
      </c>
      <c r="AQ5" s="195">
        <v>80000</v>
      </c>
      <c r="AT5" s="194" t="s">
        <v>248</v>
      </c>
      <c r="AU5" s="192">
        <v>3</v>
      </c>
    </row>
    <row r="6" spans="2:47">
      <c r="B6" s="194" t="s">
        <v>208</v>
      </c>
      <c r="C6" s="194">
        <v>79999.92</v>
      </c>
      <c r="D6" s="194">
        <v>80000</v>
      </c>
      <c r="E6" s="195">
        <v>80000</v>
      </c>
      <c r="F6" s="195">
        <v>80000</v>
      </c>
      <c r="G6" s="195">
        <v>80000</v>
      </c>
      <c r="H6" s="195">
        <v>80000</v>
      </c>
      <c r="I6" s="195">
        <v>80000</v>
      </c>
      <c r="J6" s="195">
        <v>80000</v>
      </c>
      <c r="K6" s="195">
        <v>80000</v>
      </c>
      <c r="L6" s="195">
        <v>80000</v>
      </c>
      <c r="M6" s="195">
        <v>80000</v>
      </c>
      <c r="N6" s="195">
        <v>80000</v>
      </c>
      <c r="O6" s="195">
        <v>80000</v>
      </c>
      <c r="P6" s="195">
        <v>80000</v>
      </c>
      <c r="Q6" s="195">
        <v>80000</v>
      </c>
      <c r="R6" s="195">
        <v>80000</v>
      </c>
      <c r="S6" s="195">
        <v>80000</v>
      </c>
      <c r="T6" s="195">
        <v>80000</v>
      </c>
      <c r="U6" s="195">
        <v>80000</v>
      </c>
      <c r="V6" s="195">
        <v>80000</v>
      </c>
      <c r="W6" s="195">
        <v>80000</v>
      </c>
      <c r="X6" s="195">
        <v>80000</v>
      </c>
      <c r="Y6" s="195">
        <v>80000</v>
      </c>
      <c r="Z6" s="195">
        <v>80000</v>
      </c>
      <c r="AA6" s="195">
        <v>80000</v>
      </c>
      <c r="AB6" s="195">
        <v>80000</v>
      </c>
      <c r="AC6" s="195">
        <v>80000</v>
      </c>
      <c r="AD6" s="195">
        <v>80000</v>
      </c>
      <c r="AE6" s="195">
        <v>80000</v>
      </c>
      <c r="AF6" s="195">
        <v>80000</v>
      </c>
      <c r="AG6" s="195">
        <v>80000</v>
      </c>
      <c r="AH6" s="195">
        <v>80000</v>
      </c>
      <c r="AI6" s="195">
        <v>80000</v>
      </c>
      <c r="AJ6" s="195">
        <v>80000</v>
      </c>
      <c r="AK6" s="195">
        <v>80000</v>
      </c>
      <c r="AL6" s="195">
        <v>80000</v>
      </c>
      <c r="AM6" s="195">
        <v>80000</v>
      </c>
      <c r="AN6" s="195">
        <v>80000</v>
      </c>
      <c r="AO6" s="195">
        <v>80000</v>
      </c>
      <c r="AP6" s="195">
        <v>80000</v>
      </c>
      <c r="AQ6" s="195">
        <v>80000</v>
      </c>
      <c r="AT6" s="194" t="s">
        <v>247</v>
      </c>
      <c r="AU6" s="192">
        <v>4</v>
      </c>
    </row>
    <row r="7" spans="2:47">
      <c r="B7" s="194" t="s">
        <v>221</v>
      </c>
      <c r="C7" s="194">
        <v>0</v>
      </c>
      <c r="D7" s="194">
        <v>0</v>
      </c>
      <c r="E7" s="195">
        <v>0</v>
      </c>
      <c r="F7" s="195">
        <v>0</v>
      </c>
      <c r="G7" s="195">
        <v>0</v>
      </c>
      <c r="H7" s="195">
        <v>0</v>
      </c>
      <c r="I7" s="195">
        <v>0</v>
      </c>
      <c r="J7" s="195">
        <v>0</v>
      </c>
      <c r="K7" s="195">
        <v>0</v>
      </c>
      <c r="L7" s="195">
        <v>0</v>
      </c>
      <c r="M7" s="195">
        <v>0</v>
      </c>
      <c r="N7" s="195">
        <v>0</v>
      </c>
      <c r="O7" s="195">
        <v>0</v>
      </c>
      <c r="P7" s="195">
        <v>0</v>
      </c>
      <c r="Q7" s="195">
        <v>0</v>
      </c>
      <c r="R7" s="195">
        <v>0</v>
      </c>
      <c r="S7" s="195">
        <v>0</v>
      </c>
      <c r="T7" s="195">
        <v>0</v>
      </c>
      <c r="U7" s="195">
        <v>0</v>
      </c>
      <c r="V7" s="195">
        <v>0</v>
      </c>
      <c r="W7" s="195">
        <v>0</v>
      </c>
      <c r="X7" s="195">
        <v>0</v>
      </c>
      <c r="Y7" s="195">
        <v>0</v>
      </c>
      <c r="Z7" s="195">
        <v>0</v>
      </c>
      <c r="AA7" s="195">
        <v>0</v>
      </c>
      <c r="AB7" s="195">
        <v>0</v>
      </c>
      <c r="AC7" s="195">
        <v>0</v>
      </c>
      <c r="AD7" s="195">
        <v>0</v>
      </c>
      <c r="AE7" s="195">
        <v>0</v>
      </c>
      <c r="AF7" s="195">
        <v>0</v>
      </c>
      <c r="AG7" s="195">
        <v>0</v>
      </c>
      <c r="AH7" s="195">
        <v>0</v>
      </c>
      <c r="AI7" s="195">
        <v>0</v>
      </c>
      <c r="AJ7" s="195">
        <v>0</v>
      </c>
      <c r="AK7" s="195">
        <v>0</v>
      </c>
      <c r="AL7" s="195">
        <v>0</v>
      </c>
      <c r="AM7" s="195">
        <v>0</v>
      </c>
      <c r="AN7" s="195">
        <v>0</v>
      </c>
      <c r="AO7" s="195">
        <v>0</v>
      </c>
      <c r="AP7" s="195">
        <v>0</v>
      </c>
      <c r="AQ7" s="195">
        <v>0</v>
      </c>
      <c r="AT7" s="194" t="s">
        <v>246</v>
      </c>
      <c r="AU7" s="192">
        <v>5</v>
      </c>
    </row>
    <row r="8" spans="2:47">
      <c r="B8" s="194" t="s">
        <v>511</v>
      </c>
      <c r="C8" s="194">
        <v>80000</v>
      </c>
      <c r="D8" s="194">
        <v>80000</v>
      </c>
      <c r="E8" s="195">
        <v>80000</v>
      </c>
      <c r="F8" s="195">
        <v>80000</v>
      </c>
      <c r="G8" s="195">
        <v>80000</v>
      </c>
      <c r="H8" s="195">
        <v>80000</v>
      </c>
      <c r="I8" s="195">
        <v>80000</v>
      </c>
      <c r="J8" s="195">
        <v>80000</v>
      </c>
      <c r="K8" s="195">
        <v>80000</v>
      </c>
      <c r="L8" s="195">
        <v>80000</v>
      </c>
      <c r="M8" s="195">
        <v>80000</v>
      </c>
      <c r="N8" s="195">
        <v>80000</v>
      </c>
      <c r="O8" s="195">
        <v>80000</v>
      </c>
      <c r="P8" s="195">
        <v>80000</v>
      </c>
      <c r="Q8" s="195">
        <v>80000</v>
      </c>
      <c r="R8" s="195">
        <v>80000</v>
      </c>
      <c r="S8" s="195">
        <v>80000</v>
      </c>
      <c r="T8" s="195">
        <v>80000</v>
      </c>
      <c r="U8" s="195">
        <v>80000</v>
      </c>
      <c r="V8" s="195">
        <v>80000</v>
      </c>
      <c r="W8" s="195">
        <v>80000</v>
      </c>
      <c r="X8" s="195">
        <v>80000</v>
      </c>
      <c r="Y8" s="195">
        <v>80000</v>
      </c>
      <c r="Z8" s="195">
        <v>80000</v>
      </c>
      <c r="AA8" s="195">
        <v>80000</v>
      </c>
      <c r="AB8" s="195">
        <v>80000</v>
      </c>
      <c r="AC8" s="195">
        <v>80000</v>
      </c>
      <c r="AD8" s="195">
        <v>80000</v>
      </c>
      <c r="AE8" s="195">
        <v>80000</v>
      </c>
      <c r="AF8" s="195">
        <v>80000</v>
      </c>
      <c r="AG8" s="195">
        <v>80000</v>
      </c>
      <c r="AH8" s="195">
        <v>80000</v>
      </c>
      <c r="AI8" s="195">
        <v>80000</v>
      </c>
      <c r="AJ8" s="195">
        <v>80000</v>
      </c>
      <c r="AK8" s="195">
        <v>80000</v>
      </c>
      <c r="AL8" s="195">
        <v>80000</v>
      </c>
      <c r="AM8" s="195">
        <v>80000</v>
      </c>
      <c r="AN8" s="195">
        <v>80000</v>
      </c>
      <c r="AO8" s="195">
        <v>80000</v>
      </c>
      <c r="AP8" s="195">
        <v>80000</v>
      </c>
      <c r="AQ8" s="195">
        <v>80000</v>
      </c>
      <c r="AT8" s="194" t="s">
        <v>245</v>
      </c>
      <c r="AU8" s="192">
        <v>6</v>
      </c>
    </row>
    <row r="9" spans="2:47" ht="15">
      <c r="B9" s="194" t="s">
        <v>209</v>
      </c>
      <c r="C9" s="194"/>
      <c r="D9" s="194"/>
      <c r="E9" s="196"/>
      <c r="F9" s="196"/>
      <c r="G9" s="196"/>
      <c r="H9" s="196"/>
      <c r="I9" s="197"/>
      <c r="J9" s="197"/>
      <c r="K9" s="197"/>
      <c r="L9" s="197"/>
      <c r="M9" s="197"/>
      <c r="N9" s="196"/>
      <c r="O9" s="196"/>
      <c r="P9" s="196"/>
      <c r="Q9" s="196"/>
      <c r="R9" s="196"/>
      <c r="S9" s="197"/>
      <c r="T9" s="197"/>
      <c r="U9" s="197"/>
      <c r="V9" s="197"/>
      <c r="W9" s="197"/>
      <c r="X9" s="197"/>
      <c r="Y9" s="197"/>
      <c r="Z9" s="197"/>
      <c r="AA9" s="197"/>
      <c r="AB9" s="197"/>
      <c r="AC9" s="197"/>
      <c r="AD9" s="197"/>
      <c r="AE9" s="197"/>
      <c r="AF9" s="197"/>
      <c r="AG9" s="197"/>
      <c r="AH9" s="197"/>
      <c r="AI9" s="197"/>
      <c r="AJ9" s="197"/>
      <c r="AK9" s="197"/>
      <c r="AL9" s="196"/>
      <c r="AM9" s="196"/>
      <c r="AN9" s="196"/>
      <c r="AO9" s="196"/>
      <c r="AP9" s="196"/>
      <c r="AQ9" s="196"/>
      <c r="AT9" s="194" t="s">
        <v>244</v>
      </c>
      <c r="AU9" s="192">
        <v>7</v>
      </c>
    </row>
    <row r="10" spans="2:47" ht="15">
      <c r="B10" s="194" t="s">
        <v>209</v>
      </c>
      <c r="C10" s="194"/>
      <c r="D10" s="194"/>
      <c r="E10" s="196"/>
      <c r="F10" s="196"/>
      <c r="G10" s="196"/>
      <c r="H10" s="196"/>
      <c r="I10" s="197"/>
      <c r="J10" s="197"/>
      <c r="K10" s="197"/>
      <c r="L10" s="197"/>
      <c r="M10" s="197"/>
      <c r="N10" s="196"/>
      <c r="O10" s="196"/>
      <c r="P10" s="196"/>
      <c r="Q10" s="196"/>
      <c r="R10" s="196"/>
      <c r="S10" s="197"/>
      <c r="T10" s="197"/>
      <c r="U10" s="197"/>
      <c r="V10" s="197"/>
      <c r="W10" s="197"/>
      <c r="X10" s="197"/>
      <c r="Y10" s="197"/>
      <c r="Z10" s="197"/>
      <c r="AA10" s="197"/>
      <c r="AB10" s="197"/>
      <c r="AC10" s="197"/>
      <c r="AD10" s="197"/>
      <c r="AE10" s="197"/>
      <c r="AF10" s="197"/>
      <c r="AG10" s="197"/>
      <c r="AH10" s="197"/>
      <c r="AI10" s="197"/>
      <c r="AJ10" s="197"/>
      <c r="AK10" s="197"/>
      <c r="AL10" s="196"/>
      <c r="AM10" s="196"/>
      <c r="AN10" s="196"/>
      <c r="AO10" s="196"/>
      <c r="AP10" s="196"/>
      <c r="AQ10" s="196"/>
      <c r="AT10" s="194" t="s">
        <v>243</v>
      </c>
      <c r="AU10" s="192">
        <v>8</v>
      </c>
    </row>
    <row r="11" spans="2:47" ht="15">
      <c r="B11" s="194" t="s">
        <v>209</v>
      </c>
      <c r="C11" s="194"/>
      <c r="D11" s="194"/>
      <c r="E11" s="198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7"/>
      <c r="T11" s="197"/>
      <c r="U11" s="197"/>
      <c r="V11" s="197"/>
      <c r="W11" s="197"/>
      <c r="X11" s="197"/>
      <c r="Y11" s="197"/>
      <c r="Z11" s="197"/>
      <c r="AA11" s="197"/>
      <c r="AB11" s="197"/>
      <c r="AC11" s="197"/>
      <c r="AD11" s="197"/>
      <c r="AE11" s="197"/>
      <c r="AF11" s="197"/>
      <c r="AG11" s="197"/>
      <c r="AH11" s="197"/>
      <c r="AI11" s="197"/>
      <c r="AJ11" s="197"/>
      <c r="AK11" s="197"/>
      <c r="AL11" s="196"/>
      <c r="AM11" s="196"/>
      <c r="AN11" s="196"/>
      <c r="AO11" s="196"/>
      <c r="AP11" s="196"/>
      <c r="AQ11" s="196"/>
      <c r="AT11" s="194" t="s">
        <v>568</v>
      </c>
      <c r="AU11" s="192">
        <v>9</v>
      </c>
    </row>
    <row r="12" spans="2:47" ht="15">
      <c r="B12" s="194" t="s">
        <v>209</v>
      </c>
      <c r="C12" s="194"/>
      <c r="D12" s="194"/>
      <c r="E12" s="194"/>
      <c r="F12" s="194"/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6"/>
      <c r="AM12" s="196"/>
      <c r="AN12" s="196"/>
      <c r="AO12" s="196"/>
      <c r="AP12" s="196"/>
      <c r="AQ12" s="196"/>
      <c r="AT12" s="194" t="s">
        <v>242</v>
      </c>
      <c r="AU12" s="192">
        <v>10</v>
      </c>
    </row>
    <row r="13" spans="2:47" ht="15">
      <c r="B13" s="194" t="s">
        <v>209</v>
      </c>
      <c r="C13" s="194"/>
      <c r="D13" s="194"/>
      <c r="E13" s="196"/>
      <c r="F13" s="196"/>
      <c r="G13" s="196"/>
      <c r="H13" s="196"/>
      <c r="I13" s="197"/>
      <c r="J13" s="197"/>
      <c r="K13" s="197"/>
      <c r="L13" s="197"/>
      <c r="M13" s="197"/>
      <c r="N13" s="197"/>
      <c r="O13" s="197"/>
      <c r="P13" s="197"/>
      <c r="Q13" s="197"/>
      <c r="R13" s="197"/>
      <c r="S13" s="197"/>
      <c r="T13" s="197"/>
      <c r="U13" s="197"/>
      <c r="V13" s="197"/>
      <c r="W13" s="197"/>
      <c r="X13" s="197"/>
      <c r="Y13" s="197"/>
      <c r="Z13" s="197"/>
      <c r="AA13" s="197"/>
      <c r="AB13" s="197"/>
      <c r="AC13" s="197"/>
      <c r="AD13" s="197"/>
      <c r="AE13" s="197"/>
      <c r="AF13" s="197"/>
      <c r="AG13" s="197"/>
      <c r="AH13" s="197"/>
      <c r="AI13" s="197"/>
      <c r="AJ13" s="197"/>
      <c r="AK13" s="197"/>
      <c r="AL13" s="197"/>
      <c r="AM13" s="197"/>
      <c r="AN13" s="197"/>
      <c r="AO13" s="196"/>
      <c r="AP13" s="196"/>
      <c r="AQ13" s="196"/>
      <c r="AT13" s="194" t="s">
        <v>241</v>
      </c>
      <c r="AU13" s="192">
        <v>11</v>
      </c>
    </row>
    <row r="14" spans="2:47" ht="15">
      <c r="B14" s="194" t="s">
        <v>209</v>
      </c>
      <c r="C14" s="194"/>
      <c r="D14" s="194"/>
      <c r="E14" s="196"/>
      <c r="F14" s="196"/>
      <c r="G14" s="196"/>
      <c r="H14" s="196"/>
      <c r="I14" s="197"/>
      <c r="J14" s="197"/>
      <c r="K14" s="197"/>
      <c r="L14" s="197"/>
      <c r="M14" s="197"/>
      <c r="N14" s="197"/>
      <c r="O14" s="196"/>
      <c r="P14" s="196"/>
      <c r="Q14" s="196"/>
      <c r="R14" s="196"/>
      <c r="S14" s="197"/>
      <c r="T14" s="197"/>
      <c r="U14" s="197"/>
      <c r="V14" s="197"/>
      <c r="W14" s="197"/>
      <c r="X14" s="197"/>
      <c r="Y14" s="197"/>
      <c r="Z14" s="197"/>
      <c r="AA14" s="197"/>
      <c r="AB14" s="197"/>
      <c r="AC14" s="197"/>
      <c r="AD14" s="197"/>
      <c r="AE14" s="197"/>
      <c r="AF14" s="197"/>
      <c r="AG14" s="197"/>
      <c r="AH14" s="197"/>
      <c r="AI14" s="197"/>
      <c r="AJ14" s="197"/>
      <c r="AK14" s="197"/>
      <c r="AL14" s="196"/>
      <c r="AM14" s="196"/>
      <c r="AN14" s="196"/>
      <c r="AO14" s="196"/>
      <c r="AP14" s="196"/>
      <c r="AQ14" s="196"/>
      <c r="AT14" s="194" t="s">
        <v>240</v>
      </c>
      <c r="AU14" s="192">
        <v>12</v>
      </c>
    </row>
    <row r="15" spans="2:47" ht="15">
      <c r="B15" s="194" t="s">
        <v>209</v>
      </c>
      <c r="C15" s="194"/>
      <c r="D15" s="194"/>
      <c r="E15" s="196"/>
      <c r="F15" s="196"/>
      <c r="G15" s="196"/>
      <c r="H15" s="196"/>
      <c r="I15" s="197"/>
      <c r="J15" s="197"/>
      <c r="K15" s="197"/>
      <c r="L15" s="197"/>
      <c r="M15" s="197"/>
      <c r="N15" s="197"/>
      <c r="O15" s="196"/>
      <c r="P15" s="196"/>
      <c r="Q15" s="196"/>
      <c r="R15" s="196"/>
      <c r="S15" s="196"/>
      <c r="T15" s="196"/>
      <c r="U15" s="197"/>
      <c r="V15" s="197"/>
      <c r="W15" s="197"/>
      <c r="X15" s="197"/>
      <c r="Y15" s="197"/>
      <c r="Z15" s="197"/>
      <c r="AA15" s="197"/>
      <c r="AB15" s="197"/>
      <c r="AC15" s="197"/>
      <c r="AD15" s="197"/>
      <c r="AE15" s="197"/>
      <c r="AF15" s="197"/>
      <c r="AG15" s="197"/>
      <c r="AH15" s="197"/>
      <c r="AI15" s="197"/>
      <c r="AJ15" s="197"/>
      <c r="AK15" s="197"/>
      <c r="AL15" s="196"/>
      <c r="AM15" s="196"/>
      <c r="AN15" s="196"/>
      <c r="AO15" s="196"/>
      <c r="AP15" s="196"/>
      <c r="AQ15" s="196"/>
      <c r="AT15" s="194" t="s">
        <v>239</v>
      </c>
      <c r="AU15" s="192">
        <v>13</v>
      </c>
    </row>
    <row r="16" spans="2:47" ht="15">
      <c r="B16" s="194" t="s">
        <v>209</v>
      </c>
      <c r="C16" s="194"/>
      <c r="D16" s="194"/>
      <c r="E16" s="197"/>
      <c r="F16" s="197"/>
      <c r="G16" s="197"/>
      <c r="H16" s="196"/>
      <c r="I16" s="197"/>
      <c r="J16" s="197"/>
      <c r="K16" s="197"/>
      <c r="L16" s="197"/>
      <c r="M16" s="197"/>
      <c r="N16" s="197"/>
      <c r="O16" s="196"/>
      <c r="P16" s="196"/>
      <c r="Q16" s="196"/>
      <c r="R16" s="196"/>
      <c r="S16" s="196"/>
      <c r="T16" s="196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6"/>
      <c r="AM16" s="196"/>
      <c r="AN16" s="196"/>
      <c r="AO16" s="196"/>
      <c r="AP16" s="196"/>
      <c r="AQ16" s="196"/>
      <c r="AT16" s="194" t="s">
        <v>238</v>
      </c>
      <c r="AU16" s="192">
        <v>14</v>
      </c>
    </row>
    <row r="17" spans="2:47" ht="15">
      <c r="B17" s="194"/>
      <c r="C17" s="194"/>
      <c r="D17" s="194"/>
      <c r="E17" s="197"/>
      <c r="F17" s="197"/>
      <c r="G17" s="197"/>
      <c r="H17" s="196"/>
      <c r="I17" s="197"/>
      <c r="J17" s="197"/>
      <c r="K17" s="197"/>
      <c r="L17" s="197"/>
      <c r="M17" s="197"/>
      <c r="N17" s="196"/>
      <c r="O17" s="196"/>
      <c r="P17" s="196"/>
      <c r="Q17" s="196"/>
      <c r="R17" s="196"/>
      <c r="S17" s="196"/>
      <c r="T17" s="196"/>
      <c r="U17" s="196"/>
      <c r="V17" s="196"/>
      <c r="W17" s="196"/>
      <c r="X17" s="196"/>
      <c r="Y17" s="196"/>
      <c r="Z17" s="196"/>
      <c r="AA17" s="196"/>
      <c r="AB17" s="196"/>
      <c r="AC17" s="197"/>
      <c r="AD17" s="197"/>
      <c r="AE17" s="197"/>
      <c r="AF17" s="197"/>
      <c r="AG17" s="197"/>
      <c r="AH17" s="197"/>
      <c r="AI17" s="197"/>
      <c r="AJ17" s="197"/>
      <c r="AK17" s="197"/>
      <c r="AL17" s="197"/>
      <c r="AM17" s="197"/>
      <c r="AN17" s="196"/>
      <c r="AO17" s="196"/>
      <c r="AP17" s="196"/>
      <c r="AQ17" s="196"/>
      <c r="AT17" s="194" t="s">
        <v>237</v>
      </c>
      <c r="AU17" s="192">
        <v>15</v>
      </c>
    </row>
    <row r="18" spans="2:47" ht="15">
      <c r="C18" s="197"/>
      <c r="D18" s="197"/>
      <c r="E18" s="197"/>
      <c r="F18" s="197"/>
      <c r="G18" s="197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7"/>
      <c r="AD18" s="197"/>
      <c r="AE18" s="197"/>
      <c r="AF18" s="197"/>
      <c r="AG18" s="197"/>
      <c r="AH18" s="197"/>
      <c r="AI18" s="197"/>
      <c r="AJ18" s="197"/>
      <c r="AK18" s="197"/>
      <c r="AL18" s="197"/>
      <c r="AM18" s="197"/>
      <c r="AN18" s="196"/>
      <c r="AO18" s="196"/>
      <c r="AP18" s="196"/>
      <c r="AQ18" s="196"/>
      <c r="AT18" s="194" t="s">
        <v>236</v>
      </c>
      <c r="AU18" s="192">
        <v>16</v>
      </c>
    </row>
    <row r="19" spans="2:47" ht="15">
      <c r="C19" s="197"/>
      <c r="D19" s="197"/>
      <c r="E19" s="197"/>
      <c r="F19" s="197"/>
      <c r="G19" s="197"/>
      <c r="H19" s="196"/>
      <c r="I19" s="196"/>
      <c r="J19" s="196"/>
      <c r="K19" s="196"/>
      <c r="L19" s="196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196"/>
      <c r="X19" s="196"/>
      <c r="Y19" s="196"/>
      <c r="Z19" s="196"/>
      <c r="AA19" s="196"/>
      <c r="AB19" s="196"/>
      <c r="AC19" s="197"/>
      <c r="AD19" s="197"/>
      <c r="AE19" s="197"/>
      <c r="AF19" s="197"/>
      <c r="AG19" s="197"/>
      <c r="AH19" s="197"/>
      <c r="AI19" s="197"/>
      <c r="AJ19" s="197"/>
      <c r="AK19" s="197"/>
      <c r="AL19" s="197"/>
      <c r="AM19" s="197"/>
      <c r="AN19" s="196"/>
      <c r="AO19" s="196"/>
      <c r="AP19" s="196"/>
      <c r="AQ19" s="196"/>
      <c r="AT19" s="194" t="s">
        <v>235</v>
      </c>
      <c r="AU19" s="192">
        <v>17</v>
      </c>
    </row>
    <row r="20" spans="2:47" ht="15">
      <c r="C20" s="197"/>
      <c r="D20" s="197"/>
      <c r="E20" s="197"/>
      <c r="F20" s="197"/>
      <c r="G20" s="197"/>
      <c r="H20" s="196"/>
      <c r="I20" s="196"/>
      <c r="J20" s="196"/>
      <c r="K20" s="196"/>
      <c r="L20" s="196"/>
      <c r="M20" s="196"/>
      <c r="N20" s="196"/>
      <c r="O20" s="196"/>
      <c r="P20" s="196"/>
      <c r="Q20" s="196"/>
      <c r="R20" s="196"/>
      <c r="S20" s="196"/>
      <c r="T20" s="196"/>
      <c r="U20" s="196"/>
      <c r="V20" s="196"/>
      <c r="W20" s="196"/>
      <c r="X20" s="196"/>
      <c r="Y20" s="196"/>
      <c r="Z20" s="196"/>
      <c r="AA20" s="196"/>
      <c r="AB20" s="196"/>
      <c r="AC20" s="197"/>
      <c r="AD20" s="197"/>
      <c r="AE20" s="197"/>
      <c r="AF20" s="197"/>
      <c r="AG20" s="197"/>
      <c r="AH20" s="197"/>
      <c r="AI20" s="197"/>
      <c r="AJ20" s="197"/>
      <c r="AK20" s="197"/>
      <c r="AL20" s="197"/>
      <c r="AM20" s="197"/>
      <c r="AN20" s="196"/>
      <c r="AO20" s="196"/>
      <c r="AP20" s="196"/>
      <c r="AQ20" s="196"/>
      <c r="AT20" s="194" t="s">
        <v>234</v>
      </c>
      <c r="AU20" s="192">
        <v>18</v>
      </c>
    </row>
    <row r="21" spans="2:47" ht="15">
      <c r="C21" s="197"/>
      <c r="D21" s="197"/>
      <c r="E21" s="197"/>
      <c r="F21" s="197"/>
      <c r="G21" s="197"/>
      <c r="H21" s="196"/>
      <c r="I21" s="197"/>
      <c r="J21" s="197"/>
      <c r="K21" s="197"/>
      <c r="L21" s="197"/>
      <c r="M21" s="197"/>
      <c r="N21" s="197"/>
      <c r="O21" s="196"/>
      <c r="P21" s="196"/>
      <c r="Q21" s="196"/>
      <c r="R21" s="196"/>
      <c r="S21" s="196"/>
      <c r="T21" s="196"/>
      <c r="U21" s="196"/>
      <c r="V21" s="196"/>
      <c r="W21" s="196"/>
      <c r="X21" s="196"/>
      <c r="Y21" s="196"/>
      <c r="Z21" s="196"/>
      <c r="AA21" s="196"/>
      <c r="AB21" s="196"/>
      <c r="AC21" s="197"/>
      <c r="AD21" s="197"/>
      <c r="AE21" s="197"/>
      <c r="AF21" s="197"/>
      <c r="AG21" s="197"/>
      <c r="AH21" s="197"/>
      <c r="AI21" s="197"/>
      <c r="AJ21" s="197"/>
      <c r="AK21" s="197"/>
      <c r="AL21" s="196"/>
      <c r="AM21" s="196"/>
      <c r="AN21" s="196"/>
      <c r="AO21" s="196"/>
      <c r="AP21" s="196"/>
      <c r="AQ21" s="196"/>
      <c r="AT21" s="194" t="s">
        <v>233</v>
      </c>
      <c r="AU21" s="192">
        <v>19</v>
      </c>
    </row>
    <row r="22" spans="2:47" ht="15">
      <c r="C22" s="197"/>
      <c r="D22" s="197"/>
      <c r="E22" s="197"/>
      <c r="F22" s="197"/>
      <c r="G22" s="197"/>
      <c r="H22" s="196"/>
      <c r="I22" s="197"/>
      <c r="J22" s="197"/>
      <c r="K22" s="197"/>
      <c r="L22" s="197"/>
      <c r="M22" s="197"/>
      <c r="N22" s="197"/>
      <c r="O22" s="196"/>
      <c r="P22" s="196"/>
      <c r="Q22" s="196"/>
      <c r="R22" s="196"/>
      <c r="S22" s="196"/>
      <c r="T22" s="196"/>
      <c r="U22" s="196"/>
      <c r="V22" s="196"/>
      <c r="W22" s="196"/>
      <c r="X22" s="196"/>
      <c r="Y22" s="196"/>
      <c r="Z22" s="196"/>
      <c r="AA22" s="196"/>
      <c r="AB22" s="196"/>
      <c r="AC22" s="197"/>
      <c r="AD22" s="197"/>
      <c r="AE22" s="197"/>
      <c r="AF22" s="197"/>
      <c r="AG22" s="197"/>
      <c r="AH22" s="197"/>
      <c r="AI22" s="197"/>
      <c r="AJ22" s="197"/>
      <c r="AK22" s="197"/>
      <c r="AL22" s="196"/>
      <c r="AM22" s="196"/>
      <c r="AN22" s="196"/>
      <c r="AO22" s="196"/>
      <c r="AP22" s="196"/>
      <c r="AQ22" s="196"/>
      <c r="AT22" s="194" t="s">
        <v>232</v>
      </c>
      <c r="AU22" s="192">
        <v>20</v>
      </c>
    </row>
    <row r="23" spans="2:47" ht="15">
      <c r="C23" s="196"/>
      <c r="D23" s="196"/>
      <c r="E23" s="196"/>
      <c r="F23" s="196"/>
      <c r="G23" s="196"/>
      <c r="H23" s="196"/>
      <c r="I23" s="197"/>
      <c r="J23" s="197"/>
      <c r="K23" s="197"/>
      <c r="L23" s="197"/>
      <c r="M23" s="197"/>
      <c r="N23" s="197"/>
      <c r="O23" s="196"/>
      <c r="P23" s="196"/>
      <c r="Q23" s="196"/>
      <c r="R23" s="196"/>
      <c r="S23" s="196"/>
      <c r="T23" s="196"/>
      <c r="U23" s="196"/>
      <c r="V23" s="196"/>
      <c r="W23" s="196"/>
      <c r="X23" s="196"/>
      <c r="Y23" s="196"/>
      <c r="Z23" s="196"/>
      <c r="AA23" s="196"/>
      <c r="AB23" s="196"/>
      <c r="AC23" s="197"/>
      <c r="AD23" s="197"/>
      <c r="AE23" s="197"/>
      <c r="AF23" s="197"/>
      <c r="AG23" s="197"/>
      <c r="AH23" s="197"/>
      <c r="AI23" s="197"/>
      <c r="AJ23" s="197"/>
      <c r="AK23" s="197"/>
      <c r="AL23" s="196"/>
      <c r="AM23" s="196"/>
      <c r="AN23" s="196"/>
      <c r="AO23" s="196"/>
      <c r="AP23" s="196"/>
      <c r="AQ23" s="196"/>
      <c r="AT23" s="194" t="s">
        <v>231</v>
      </c>
      <c r="AU23" s="192">
        <v>21</v>
      </c>
    </row>
    <row r="24" spans="2:47" ht="15">
      <c r="C24" s="196"/>
      <c r="D24" s="196"/>
      <c r="E24" s="196"/>
      <c r="F24" s="196"/>
      <c r="G24" s="196"/>
      <c r="H24" s="196"/>
      <c r="I24" s="196"/>
      <c r="J24" s="196"/>
      <c r="K24" s="196"/>
      <c r="L24" s="196"/>
      <c r="M24" s="196"/>
      <c r="N24" s="196"/>
      <c r="O24" s="196"/>
      <c r="P24" s="196"/>
      <c r="Q24" s="196"/>
      <c r="R24" s="196"/>
      <c r="S24" s="196"/>
      <c r="T24" s="196"/>
      <c r="U24" s="196"/>
      <c r="V24" s="196"/>
      <c r="W24" s="196"/>
      <c r="X24" s="196"/>
      <c r="Y24" s="196"/>
      <c r="Z24" s="196"/>
      <c r="AA24" s="196"/>
      <c r="AB24" s="196"/>
      <c r="AC24" s="197"/>
      <c r="AD24" s="197"/>
      <c r="AE24" s="197"/>
      <c r="AF24" s="197"/>
      <c r="AG24" s="197"/>
      <c r="AH24" s="197"/>
      <c r="AI24" s="197"/>
      <c r="AJ24" s="197"/>
      <c r="AK24" s="197"/>
      <c r="AL24" s="196"/>
      <c r="AM24" s="196"/>
      <c r="AN24" s="196"/>
      <c r="AO24" s="196"/>
      <c r="AP24" s="196"/>
      <c r="AQ24" s="196"/>
      <c r="AT24" s="194" t="s">
        <v>230</v>
      </c>
      <c r="AU24" s="192">
        <v>22</v>
      </c>
    </row>
    <row r="25" spans="2:47" ht="15"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196"/>
      <c r="Q25" s="196"/>
      <c r="R25" s="196"/>
      <c r="S25" s="196"/>
      <c r="T25" s="196"/>
      <c r="U25" s="196"/>
      <c r="V25" s="196"/>
      <c r="W25" s="196"/>
      <c r="X25" s="196"/>
      <c r="Y25" s="196"/>
      <c r="Z25" s="196"/>
      <c r="AA25" s="196"/>
      <c r="AB25" s="196"/>
      <c r="AC25" s="197"/>
      <c r="AD25" s="197"/>
      <c r="AE25" s="197"/>
      <c r="AF25" s="197"/>
      <c r="AG25" s="197"/>
      <c r="AH25" s="197"/>
      <c r="AI25" s="197"/>
      <c r="AJ25" s="197"/>
      <c r="AK25" s="197"/>
      <c r="AL25" s="196"/>
      <c r="AM25" s="196"/>
      <c r="AN25" s="196"/>
      <c r="AO25" s="196"/>
      <c r="AP25" s="196"/>
      <c r="AQ25" s="196"/>
      <c r="AT25" s="194" t="s">
        <v>229</v>
      </c>
      <c r="AU25" s="192">
        <v>23</v>
      </c>
    </row>
    <row r="26" spans="2:47" ht="15">
      <c r="B26" s="196"/>
      <c r="C26" s="196"/>
      <c r="D26" s="196"/>
      <c r="E26" s="196"/>
      <c r="F26" s="196"/>
      <c r="G26" s="196"/>
      <c r="H26" s="196"/>
      <c r="I26" s="196"/>
      <c r="J26" s="196"/>
      <c r="K26" s="196"/>
      <c r="L26" s="196"/>
      <c r="M26" s="196"/>
      <c r="N26" s="196"/>
      <c r="O26" s="196"/>
      <c r="P26" s="196"/>
      <c r="Q26" s="196"/>
      <c r="R26" s="196"/>
      <c r="S26" s="196"/>
      <c r="T26" s="196"/>
      <c r="U26" s="196"/>
      <c r="V26" s="196"/>
      <c r="W26" s="196"/>
      <c r="X26" s="196"/>
      <c r="Y26" s="196"/>
      <c r="Z26" s="196"/>
      <c r="AA26" s="196"/>
      <c r="AB26" s="196"/>
      <c r="AC26" s="196"/>
      <c r="AD26" s="196"/>
      <c r="AE26" s="196"/>
      <c r="AF26" s="196"/>
      <c r="AG26" s="196"/>
      <c r="AH26" s="196"/>
      <c r="AI26" s="196"/>
      <c r="AJ26" s="196"/>
      <c r="AK26" s="196"/>
      <c r="AL26" s="196"/>
      <c r="AM26" s="196"/>
      <c r="AN26" s="196"/>
      <c r="AO26" s="196"/>
      <c r="AP26" s="196"/>
      <c r="AQ26" s="196"/>
      <c r="AT26" s="194" t="s">
        <v>228</v>
      </c>
      <c r="AU26" s="192">
        <v>24</v>
      </c>
    </row>
    <row r="27" spans="2:47" ht="15">
      <c r="B27" s="196"/>
      <c r="C27" s="196"/>
      <c r="D27" s="196"/>
      <c r="E27" s="196"/>
      <c r="F27" s="196"/>
      <c r="G27" s="196"/>
      <c r="H27" s="196"/>
      <c r="I27" s="196"/>
      <c r="J27" s="196"/>
      <c r="K27" s="196"/>
      <c r="L27" s="196"/>
      <c r="M27" s="196"/>
      <c r="N27" s="196"/>
      <c r="O27" s="196"/>
      <c r="P27" s="196"/>
      <c r="Q27" s="196"/>
      <c r="R27" s="196"/>
      <c r="S27" s="196"/>
      <c r="T27" s="196"/>
      <c r="U27" s="196"/>
      <c r="V27" s="196"/>
      <c r="W27" s="196"/>
      <c r="X27" s="196"/>
      <c r="Y27" s="196"/>
      <c r="Z27" s="196"/>
      <c r="AA27" s="196"/>
      <c r="AB27" s="196"/>
      <c r="AC27" s="196"/>
      <c r="AD27" s="196"/>
      <c r="AE27" s="196"/>
      <c r="AF27" s="196"/>
      <c r="AG27" s="196"/>
      <c r="AH27" s="196"/>
      <c r="AI27" s="196"/>
      <c r="AJ27" s="196"/>
      <c r="AK27" s="196"/>
      <c r="AL27" s="196"/>
      <c r="AM27" s="196"/>
      <c r="AN27" s="196"/>
      <c r="AO27" s="196"/>
      <c r="AP27" s="196"/>
      <c r="AQ27" s="196"/>
      <c r="AT27" s="194" t="s">
        <v>227</v>
      </c>
      <c r="AU27" s="192">
        <v>25</v>
      </c>
    </row>
    <row r="28" spans="2:47" ht="15">
      <c r="B28" s="196"/>
      <c r="C28" s="196"/>
      <c r="D28" s="196"/>
      <c r="E28" s="196"/>
      <c r="F28" s="196"/>
      <c r="G28" s="196"/>
      <c r="H28" s="196"/>
      <c r="I28" s="196"/>
      <c r="J28" s="196"/>
      <c r="K28" s="196"/>
      <c r="L28" s="196"/>
      <c r="M28" s="196"/>
      <c r="N28" s="196"/>
      <c r="O28" s="196"/>
      <c r="P28" s="196"/>
      <c r="Q28" s="196"/>
      <c r="R28" s="196"/>
      <c r="S28" s="196"/>
      <c r="T28" s="196"/>
      <c r="U28" s="196"/>
      <c r="V28" s="196"/>
      <c r="W28" s="196"/>
      <c r="X28" s="196"/>
      <c r="Y28" s="196"/>
      <c r="Z28" s="196"/>
      <c r="AA28" s="196"/>
      <c r="AB28" s="196"/>
      <c r="AC28" s="196"/>
      <c r="AD28" s="196"/>
      <c r="AE28" s="196"/>
      <c r="AF28" s="196"/>
      <c r="AG28" s="196"/>
      <c r="AH28" s="196"/>
      <c r="AI28" s="196"/>
      <c r="AJ28" s="196"/>
      <c r="AK28" s="196"/>
      <c r="AL28" s="196"/>
      <c r="AM28" s="196"/>
      <c r="AN28" s="196"/>
      <c r="AO28" s="196"/>
      <c r="AP28" s="196"/>
      <c r="AQ28" s="196"/>
      <c r="AT28" s="194" t="s">
        <v>226</v>
      </c>
      <c r="AU28" s="192">
        <v>26</v>
      </c>
    </row>
    <row r="29" spans="2:47" ht="15">
      <c r="B29" s="196"/>
      <c r="C29" s="196"/>
      <c r="D29" s="196"/>
      <c r="E29" s="196"/>
      <c r="F29" s="196"/>
      <c r="G29" s="196"/>
      <c r="H29" s="196"/>
      <c r="I29" s="196"/>
      <c r="J29" s="196"/>
      <c r="K29" s="196"/>
      <c r="L29" s="196"/>
      <c r="M29" s="196"/>
      <c r="N29" s="196"/>
      <c r="O29" s="196"/>
      <c r="P29" s="196"/>
      <c r="Q29" s="196"/>
      <c r="R29" s="196"/>
      <c r="S29" s="196"/>
      <c r="T29" s="196"/>
      <c r="U29" s="196"/>
      <c r="V29" s="196"/>
      <c r="W29" s="196"/>
      <c r="X29" s="196"/>
      <c r="Y29" s="196"/>
      <c r="Z29" s="196"/>
      <c r="AA29" s="196"/>
      <c r="AB29" s="196"/>
      <c r="AC29" s="196"/>
      <c r="AD29" s="196"/>
      <c r="AE29" s="196"/>
      <c r="AF29" s="196"/>
      <c r="AG29" s="196"/>
      <c r="AH29" s="196"/>
      <c r="AI29" s="196"/>
      <c r="AJ29" s="196"/>
      <c r="AK29" s="196"/>
      <c r="AL29" s="196"/>
      <c r="AM29" s="196"/>
      <c r="AN29" s="196"/>
      <c r="AO29" s="196"/>
      <c r="AP29" s="196"/>
      <c r="AQ29" s="196"/>
      <c r="AT29" s="194" t="s">
        <v>225</v>
      </c>
      <c r="AU29" s="192">
        <v>27</v>
      </c>
    </row>
    <row r="30" spans="2:47" ht="15">
      <c r="C30" s="194" t="s">
        <v>249</v>
      </c>
      <c r="D30" s="194" t="s">
        <v>248</v>
      </c>
      <c r="E30" s="194" t="s">
        <v>247</v>
      </c>
      <c r="F30" s="194" t="s">
        <v>246</v>
      </c>
      <c r="G30" s="194" t="s">
        <v>245</v>
      </c>
      <c r="H30" s="194" t="s">
        <v>244</v>
      </c>
      <c r="I30" s="194" t="s">
        <v>243</v>
      </c>
      <c r="J30" s="194" t="s">
        <v>568</v>
      </c>
      <c r="K30" s="194" t="s">
        <v>242</v>
      </c>
      <c r="L30" s="194" t="s">
        <v>241</v>
      </c>
      <c r="M30" s="194" t="s">
        <v>240</v>
      </c>
      <c r="N30" s="194" t="s">
        <v>239</v>
      </c>
      <c r="O30" s="194" t="s">
        <v>238</v>
      </c>
      <c r="P30" s="194" t="s">
        <v>237</v>
      </c>
      <c r="Q30" s="194" t="s">
        <v>236</v>
      </c>
      <c r="R30" s="194" t="s">
        <v>235</v>
      </c>
      <c r="S30" s="194" t="s">
        <v>234</v>
      </c>
      <c r="T30" s="194" t="s">
        <v>233</v>
      </c>
      <c r="U30" s="194" t="s">
        <v>232</v>
      </c>
      <c r="V30" s="194" t="s">
        <v>231</v>
      </c>
      <c r="W30" s="194" t="s">
        <v>230</v>
      </c>
      <c r="X30" s="194" t="s">
        <v>229</v>
      </c>
      <c r="Y30" s="194" t="s">
        <v>228</v>
      </c>
      <c r="Z30" s="194" t="s">
        <v>227</v>
      </c>
      <c r="AA30" s="194" t="s">
        <v>226</v>
      </c>
      <c r="AB30" s="194" t="s">
        <v>225</v>
      </c>
      <c r="AC30" s="194" t="s">
        <v>224</v>
      </c>
      <c r="AD30" s="194" t="s">
        <v>1105</v>
      </c>
      <c r="AE30" s="194" t="s">
        <v>222</v>
      </c>
      <c r="AF30" s="194" t="s">
        <v>220</v>
      </c>
      <c r="AG30" s="194" t="s">
        <v>219</v>
      </c>
      <c r="AH30" s="194" t="s">
        <v>218</v>
      </c>
      <c r="AI30" s="194" t="s">
        <v>217</v>
      </c>
      <c r="AJ30" s="194" t="s">
        <v>216</v>
      </c>
      <c r="AK30" s="194" t="s">
        <v>215</v>
      </c>
      <c r="AL30" s="194" t="s">
        <v>214</v>
      </c>
      <c r="AM30" s="199" t="s">
        <v>213</v>
      </c>
      <c r="AN30" s="199" t="s">
        <v>407</v>
      </c>
      <c r="AO30" s="194" t="s">
        <v>505</v>
      </c>
      <c r="AP30" s="194" t="s">
        <v>414</v>
      </c>
      <c r="AQ30" s="196" t="s">
        <v>531</v>
      </c>
      <c r="AT30" s="194" t="s">
        <v>224</v>
      </c>
      <c r="AU30" s="192">
        <v>28</v>
      </c>
    </row>
    <row r="31" spans="2:47">
      <c r="C31" s="194" t="s">
        <v>207</v>
      </c>
      <c r="D31" s="194" t="s">
        <v>207</v>
      </c>
      <c r="E31" s="194" t="s">
        <v>207</v>
      </c>
      <c r="F31" s="194" t="s">
        <v>207</v>
      </c>
      <c r="G31" s="194" t="s">
        <v>207</v>
      </c>
      <c r="H31" s="194" t="s">
        <v>207</v>
      </c>
      <c r="I31" s="194" t="s">
        <v>207</v>
      </c>
      <c r="J31" s="194" t="s">
        <v>207</v>
      </c>
      <c r="K31" s="194" t="s">
        <v>207</v>
      </c>
      <c r="L31" s="194" t="s">
        <v>207</v>
      </c>
      <c r="M31" s="194" t="s">
        <v>207</v>
      </c>
      <c r="N31" s="194" t="s">
        <v>207</v>
      </c>
      <c r="O31" s="194" t="s">
        <v>207</v>
      </c>
      <c r="P31" s="194" t="s">
        <v>207</v>
      </c>
      <c r="Q31" s="194" t="s">
        <v>207</v>
      </c>
      <c r="R31" s="194" t="s">
        <v>207</v>
      </c>
      <c r="S31" s="194" t="s">
        <v>207</v>
      </c>
      <c r="T31" s="194" t="s">
        <v>207</v>
      </c>
      <c r="U31" s="194" t="s">
        <v>207</v>
      </c>
      <c r="V31" s="194" t="s">
        <v>207</v>
      </c>
      <c r="W31" s="194" t="s">
        <v>207</v>
      </c>
      <c r="X31" s="194" t="s">
        <v>207</v>
      </c>
      <c r="Y31" s="194" t="s">
        <v>207</v>
      </c>
      <c r="Z31" s="194" t="s">
        <v>207</v>
      </c>
      <c r="AA31" s="194" t="s">
        <v>207</v>
      </c>
      <c r="AB31" s="194" t="s">
        <v>207</v>
      </c>
      <c r="AC31" s="194" t="s">
        <v>207</v>
      </c>
      <c r="AD31" s="194" t="s">
        <v>207</v>
      </c>
      <c r="AE31" s="194" t="s">
        <v>207</v>
      </c>
      <c r="AF31" s="194" t="s">
        <v>207</v>
      </c>
      <c r="AG31" s="194" t="s">
        <v>207</v>
      </c>
      <c r="AH31" s="194" t="s">
        <v>207</v>
      </c>
      <c r="AI31" s="194" t="s">
        <v>207</v>
      </c>
      <c r="AJ31" s="194" t="s">
        <v>207</v>
      </c>
      <c r="AK31" s="194" t="s">
        <v>207</v>
      </c>
      <c r="AL31" s="194" t="s">
        <v>207</v>
      </c>
      <c r="AM31" s="194" t="s">
        <v>207</v>
      </c>
      <c r="AN31" s="194" t="s">
        <v>207</v>
      </c>
      <c r="AO31" s="194" t="s">
        <v>207</v>
      </c>
      <c r="AP31" s="194" t="s">
        <v>207</v>
      </c>
      <c r="AQ31" s="194" t="s">
        <v>207</v>
      </c>
      <c r="AT31" s="194" t="s">
        <v>223</v>
      </c>
      <c r="AU31" s="192">
        <v>29</v>
      </c>
    </row>
    <row r="32" spans="2:47">
      <c r="C32" s="194" t="s">
        <v>208</v>
      </c>
      <c r="D32" s="194" t="s">
        <v>208</v>
      </c>
      <c r="E32" s="194" t="s">
        <v>208</v>
      </c>
      <c r="F32" s="194" t="s">
        <v>208</v>
      </c>
      <c r="G32" s="194" t="s">
        <v>208</v>
      </c>
      <c r="H32" s="194" t="s">
        <v>208</v>
      </c>
      <c r="I32" s="194" t="s">
        <v>208</v>
      </c>
      <c r="J32" s="194" t="s">
        <v>208</v>
      </c>
      <c r="K32" s="194" t="s">
        <v>208</v>
      </c>
      <c r="L32" s="194" t="s">
        <v>208</v>
      </c>
      <c r="M32" s="194" t="s">
        <v>208</v>
      </c>
      <c r="N32" s="194" t="s">
        <v>208</v>
      </c>
      <c r="O32" s="194" t="s">
        <v>208</v>
      </c>
      <c r="P32" s="194" t="s">
        <v>208</v>
      </c>
      <c r="Q32" s="194" t="s">
        <v>208</v>
      </c>
      <c r="R32" s="194" t="s">
        <v>208</v>
      </c>
      <c r="S32" s="194" t="s">
        <v>208</v>
      </c>
      <c r="T32" s="194" t="s">
        <v>208</v>
      </c>
      <c r="U32" s="194" t="s">
        <v>208</v>
      </c>
      <c r="V32" s="194" t="s">
        <v>208</v>
      </c>
      <c r="W32" s="194" t="s">
        <v>208</v>
      </c>
      <c r="X32" s="194" t="s">
        <v>208</v>
      </c>
      <c r="Y32" s="194" t="s">
        <v>208</v>
      </c>
      <c r="Z32" s="194" t="s">
        <v>208</v>
      </c>
      <c r="AA32" s="194" t="s">
        <v>208</v>
      </c>
      <c r="AD32" s="194" t="s">
        <v>208</v>
      </c>
      <c r="AE32" s="194"/>
      <c r="AF32" s="194"/>
      <c r="AG32" s="194"/>
      <c r="AH32" s="194"/>
      <c r="AI32" s="194"/>
      <c r="AJ32" s="194"/>
      <c r="AK32" s="194"/>
      <c r="AL32" s="194" t="s">
        <v>208</v>
      </c>
      <c r="AN32" s="194" t="s">
        <v>208</v>
      </c>
      <c r="AO32" s="194" t="s">
        <v>207</v>
      </c>
      <c r="AP32" s="194" t="s">
        <v>208</v>
      </c>
      <c r="AQ32" s="194" t="s">
        <v>208</v>
      </c>
      <c r="AT32" s="194" t="s">
        <v>222</v>
      </c>
      <c r="AU32" s="192">
        <v>30</v>
      </c>
    </row>
    <row r="33" spans="2:47" ht="15">
      <c r="C33" s="196" t="s">
        <v>511</v>
      </c>
      <c r="D33" s="196" t="s">
        <v>511</v>
      </c>
      <c r="E33" s="196" t="s">
        <v>511</v>
      </c>
      <c r="F33" s="196" t="s">
        <v>511</v>
      </c>
      <c r="G33" s="196" t="s">
        <v>511</v>
      </c>
      <c r="H33" s="196" t="s">
        <v>511</v>
      </c>
      <c r="I33" s="196" t="s">
        <v>511</v>
      </c>
      <c r="J33" s="196" t="s">
        <v>511</v>
      </c>
      <c r="K33" s="196" t="s">
        <v>511</v>
      </c>
      <c r="L33" s="196" t="s">
        <v>511</v>
      </c>
      <c r="M33" s="196" t="s">
        <v>511</v>
      </c>
      <c r="N33" s="196" t="s">
        <v>511</v>
      </c>
      <c r="O33" s="196" t="s">
        <v>511</v>
      </c>
      <c r="P33" s="196" t="s">
        <v>511</v>
      </c>
      <c r="Q33" s="196" t="s">
        <v>511</v>
      </c>
      <c r="R33" s="196" t="s">
        <v>511</v>
      </c>
      <c r="S33" s="196" t="s">
        <v>511</v>
      </c>
      <c r="T33" s="196" t="s">
        <v>511</v>
      </c>
      <c r="U33" s="196" t="s">
        <v>511</v>
      </c>
      <c r="V33" s="196" t="s">
        <v>511</v>
      </c>
      <c r="W33" s="196" t="s">
        <v>511</v>
      </c>
      <c r="X33" s="196" t="s">
        <v>511</v>
      </c>
      <c r="Y33" s="196" t="s">
        <v>511</v>
      </c>
      <c r="Z33" s="196" t="s">
        <v>511</v>
      </c>
      <c r="AA33" s="196" t="s">
        <v>511</v>
      </c>
      <c r="AB33" s="196" t="s">
        <v>511</v>
      </c>
      <c r="AC33" s="196" t="s">
        <v>511</v>
      </c>
      <c r="AD33" s="196" t="s">
        <v>511</v>
      </c>
      <c r="AE33" s="196" t="s">
        <v>511</v>
      </c>
      <c r="AF33" s="196" t="s">
        <v>511</v>
      </c>
      <c r="AG33" s="196" t="s">
        <v>511</v>
      </c>
      <c r="AH33" s="196" t="s">
        <v>511</v>
      </c>
      <c r="AI33" s="196" t="s">
        <v>511</v>
      </c>
      <c r="AJ33" s="196" t="s">
        <v>511</v>
      </c>
      <c r="AK33" s="196" t="s">
        <v>511</v>
      </c>
      <c r="AL33" s="196" t="s">
        <v>511</v>
      </c>
      <c r="AM33" s="196" t="s">
        <v>511</v>
      </c>
      <c r="AN33" s="196" t="s">
        <v>511</v>
      </c>
      <c r="AO33" s="196" t="s">
        <v>511</v>
      </c>
      <c r="AP33" s="196" t="s">
        <v>511</v>
      </c>
      <c r="AQ33" s="196" t="s">
        <v>511</v>
      </c>
      <c r="AT33" s="194" t="s">
        <v>220</v>
      </c>
      <c r="AU33" s="192">
        <v>31</v>
      </c>
    </row>
    <row r="34" spans="2:47" ht="15">
      <c r="C34" s="194"/>
      <c r="D34" s="194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AD34" s="194"/>
      <c r="AE34" s="194"/>
      <c r="AL34" s="196"/>
      <c r="AN34" s="196"/>
      <c r="AO34" s="196"/>
      <c r="AP34" s="196"/>
      <c r="AQ34" s="196"/>
      <c r="AT34" s="194" t="s">
        <v>219</v>
      </c>
      <c r="AU34" s="192">
        <v>32</v>
      </c>
    </row>
    <row r="35" spans="2:47" ht="15">
      <c r="AF35" s="194"/>
      <c r="AG35" s="194"/>
      <c r="AH35" s="194"/>
      <c r="AI35" s="194"/>
      <c r="AJ35" s="194"/>
      <c r="AK35" s="194"/>
      <c r="AL35" s="196"/>
      <c r="AN35" s="196"/>
      <c r="AO35" s="196"/>
      <c r="AP35" s="196"/>
      <c r="AQ35" s="196"/>
      <c r="AT35" s="194" t="s">
        <v>218</v>
      </c>
      <c r="AU35" s="192">
        <v>33</v>
      </c>
    </row>
    <row r="36" spans="2:47" ht="15">
      <c r="B36" s="196"/>
      <c r="C36" s="196"/>
      <c r="D36" s="196"/>
      <c r="E36" s="196"/>
      <c r="F36" s="196"/>
      <c r="G36" s="196"/>
      <c r="H36" s="196"/>
      <c r="I36" s="196"/>
      <c r="J36" s="196"/>
      <c r="K36" s="196"/>
      <c r="L36" s="196"/>
      <c r="M36" s="196"/>
      <c r="N36" s="196"/>
      <c r="O36" s="196"/>
      <c r="P36" s="196"/>
      <c r="Q36" s="196"/>
      <c r="R36" s="196"/>
      <c r="S36" s="196"/>
      <c r="T36" s="196"/>
      <c r="U36" s="196"/>
      <c r="V36" s="196"/>
      <c r="W36" s="196"/>
      <c r="X36" s="196"/>
      <c r="Y36" s="196"/>
      <c r="Z36" s="196"/>
      <c r="AA36" s="196"/>
      <c r="AB36" s="196"/>
      <c r="AC36" s="196"/>
      <c r="AD36" s="196"/>
      <c r="AE36" s="196"/>
      <c r="AF36" s="196"/>
      <c r="AG36" s="196"/>
      <c r="AH36" s="196"/>
      <c r="AI36" s="196"/>
      <c r="AJ36" s="196"/>
      <c r="AK36" s="196"/>
      <c r="AL36" s="196"/>
      <c r="AM36" s="196"/>
      <c r="AN36" s="196"/>
      <c r="AO36" s="196"/>
      <c r="AP36" s="196"/>
      <c r="AQ36" s="196"/>
      <c r="AT36" s="194" t="s">
        <v>217</v>
      </c>
      <c r="AU36" s="192">
        <v>34</v>
      </c>
    </row>
    <row r="37" spans="2:47" ht="15">
      <c r="B37" s="196"/>
      <c r="C37" s="196"/>
      <c r="D37" s="196"/>
      <c r="E37" s="196"/>
      <c r="F37" s="196"/>
      <c r="G37" s="196"/>
      <c r="H37" s="196"/>
      <c r="I37" s="196"/>
      <c r="J37" s="196"/>
      <c r="K37" s="196"/>
      <c r="L37" s="196"/>
      <c r="M37" s="196"/>
      <c r="N37" s="196"/>
      <c r="O37" s="196"/>
      <c r="P37" s="196"/>
      <c r="Q37" s="196"/>
      <c r="R37" s="196"/>
      <c r="S37" s="196"/>
      <c r="T37" s="196"/>
      <c r="U37" s="196"/>
      <c r="V37" s="196"/>
      <c r="W37" s="196"/>
      <c r="X37" s="196"/>
      <c r="Y37" s="196"/>
      <c r="Z37" s="196"/>
      <c r="AA37" s="196"/>
      <c r="AB37" s="196"/>
      <c r="AC37" s="196"/>
      <c r="AD37" s="196"/>
      <c r="AE37" s="196"/>
      <c r="AF37" s="196"/>
      <c r="AG37" s="196"/>
      <c r="AH37" s="196"/>
      <c r="AI37" s="196"/>
      <c r="AJ37" s="196"/>
      <c r="AK37" s="196"/>
      <c r="AL37" s="196"/>
      <c r="AM37" s="196"/>
      <c r="AN37" s="196"/>
      <c r="AO37" s="196"/>
      <c r="AP37" s="196"/>
      <c r="AQ37" s="196"/>
      <c r="AT37" s="194" t="s">
        <v>216</v>
      </c>
      <c r="AU37" s="192">
        <v>35</v>
      </c>
    </row>
    <row r="38" spans="2:47" ht="15">
      <c r="B38" s="196"/>
      <c r="C38" s="196"/>
      <c r="D38" s="196"/>
      <c r="E38" s="196"/>
      <c r="F38" s="196"/>
      <c r="G38" s="196"/>
      <c r="H38" s="196"/>
      <c r="I38" s="196"/>
      <c r="J38" s="196"/>
      <c r="K38" s="196"/>
      <c r="L38" s="196"/>
      <c r="M38" s="196"/>
      <c r="N38" s="196"/>
      <c r="O38" s="196"/>
      <c r="P38" s="196"/>
      <c r="Q38" s="196"/>
      <c r="R38" s="196"/>
      <c r="S38" s="196"/>
      <c r="T38" s="196"/>
      <c r="U38" s="196"/>
      <c r="V38" s="196"/>
      <c r="W38" s="196"/>
      <c r="X38" s="196"/>
      <c r="Y38" s="196"/>
      <c r="Z38" s="196"/>
      <c r="AA38" s="196"/>
      <c r="AB38" s="196"/>
      <c r="AC38" s="196"/>
      <c r="AD38" s="196"/>
      <c r="AE38" s="196"/>
      <c r="AF38" s="196"/>
      <c r="AG38" s="196"/>
      <c r="AH38" s="196"/>
      <c r="AI38" s="196"/>
      <c r="AJ38" s="196"/>
      <c r="AK38" s="196"/>
      <c r="AL38" s="196"/>
      <c r="AM38" s="196"/>
      <c r="AN38" s="196"/>
      <c r="AO38" s="196"/>
      <c r="AP38" s="196"/>
      <c r="AQ38" s="196"/>
      <c r="AT38" s="194" t="s">
        <v>215</v>
      </c>
      <c r="AU38" s="192">
        <v>36</v>
      </c>
    </row>
    <row r="39" spans="2:47" ht="15">
      <c r="B39" s="196"/>
      <c r="C39" s="196"/>
      <c r="D39" s="196"/>
      <c r="E39" s="196"/>
      <c r="F39" s="196"/>
      <c r="G39" s="196"/>
      <c r="H39" s="196"/>
      <c r="I39" s="196"/>
      <c r="J39" s="196"/>
      <c r="K39" s="196"/>
      <c r="L39" s="196"/>
      <c r="M39" s="196"/>
      <c r="N39" s="196"/>
      <c r="O39" s="196"/>
      <c r="P39" s="196"/>
      <c r="Q39" s="196"/>
      <c r="R39" s="196"/>
      <c r="S39" s="196"/>
      <c r="T39" s="196"/>
      <c r="U39" s="196"/>
      <c r="V39" s="196"/>
      <c r="W39" s="196"/>
      <c r="X39" s="196"/>
      <c r="Y39" s="196"/>
      <c r="Z39" s="196"/>
      <c r="AA39" s="196"/>
      <c r="AB39" s="196"/>
      <c r="AC39" s="196"/>
      <c r="AD39" s="196"/>
      <c r="AE39" s="196"/>
      <c r="AF39" s="196"/>
      <c r="AG39" s="196"/>
      <c r="AH39" s="196"/>
      <c r="AI39" s="196"/>
      <c r="AJ39" s="196"/>
      <c r="AK39" s="196"/>
      <c r="AL39" s="196"/>
      <c r="AM39" s="196"/>
      <c r="AN39" s="196"/>
      <c r="AO39" s="196"/>
      <c r="AP39" s="196"/>
      <c r="AQ39" s="196"/>
      <c r="AT39" s="194" t="s">
        <v>214</v>
      </c>
      <c r="AU39" s="192">
        <v>37</v>
      </c>
    </row>
    <row r="40" spans="2:47">
      <c r="AT40" s="194" t="s">
        <v>213</v>
      </c>
      <c r="AU40" s="194">
        <v>38</v>
      </c>
    </row>
    <row r="41" spans="2:47">
      <c r="AL41" s="194"/>
      <c r="AM41" s="194"/>
      <c r="AN41" s="194"/>
      <c r="AT41" s="194" t="s">
        <v>407</v>
      </c>
      <c r="AU41" s="194">
        <v>39</v>
      </c>
    </row>
    <row r="42" spans="2:47">
      <c r="AT42" s="194" t="s">
        <v>505</v>
      </c>
      <c r="AU42" s="192">
        <v>40</v>
      </c>
    </row>
    <row r="43" spans="2:47">
      <c r="AT43" s="194" t="s">
        <v>414</v>
      </c>
      <c r="AU43" s="192">
        <v>41</v>
      </c>
    </row>
    <row r="44" spans="2:47">
      <c r="AT44" s="194" t="s">
        <v>532</v>
      </c>
      <c r="AU44" s="192">
        <v>42</v>
      </c>
    </row>
    <row r="45" spans="2:47">
      <c r="AT45" s="194"/>
    </row>
    <row r="46" spans="2:47">
      <c r="AT46" s="194"/>
      <c r="AU46" s="194"/>
    </row>
    <row r="47" spans="2:47">
      <c r="AT47" s="194"/>
      <c r="AU47" s="194"/>
    </row>
    <row r="48" spans="2:47">
      <c r="AT48" s="194"/>
      <c r="AU48" s="194"/>
    </row>
    <row r="49" spans="46:50">
      <c r="AT49" s="194"/>
      <c r="AU49" s="194"/>
    </row>
    <row r="50" spans="46:50">
      <c r="AT50" s="194"/>
      <c r="AU50" s="194"/>
    </row>
    <row r="51" spans="46:50">
      <c r="AT51" s="194"/>
      <c r="AU51" s="194"/>
    </row>
    <row r="52" spans="46:50">
      <c r="AT52" s="194"/>
      <c r="AU52" s="194"/>
      <c r="AV52" s="194"/>
      <c r="AW52" s="194"/>
      <c r="AX52" s="194"/>
    </row>
    <row r="53" spans="46:50">
      <c r="AT53" s="194"/>
      <c r="AU53" s="194"/>
      <c r="AV53" s="194"/>
      <c r="AW53" s="194"/>
      <c r="AX53" s="194"/>
    </row>
    <row r="67" spans="1:17" ht="15">
      <c r="A67" s="199"/>
      <c r="B67" s="200"/>
    </row>
    <row r="68" spans="1:17" ht="15">
      <c r="A68" s="196"/>
      <c r="B68" s="197"/>
    </row>
    <row r="69" spans="1:17" ht="15">
      <c r="A69" s="196"/>
      <c r="B69" s="197"/>
      <c r="H69" s="196"/>
      <c r="J69" s="196"/>
      <c r="K69" s="196"/>
      <c r="L69" s="196"/>
      <c r="M69" s="196"/>
    </row>
    <row r="70" spans="1:17" ht="15">
      <c r="A70" s="199"/>
      <c r="B70" s="200"/>
      <c r="H70" s="197"/>
      <c r="J70" s="197"/>
      <c r="K70" s="197"/>
      <c r="L70" s="197"/>
      <c r="M70" s="197"/>
      <c r="N70" s="196"/>
    </row>
    <row r="71" spans="1:17" ht="15">
      <c r="A71" s="196"/>
      <c r="B71" s="197"/>
      <c r="G71" s="196"/>
      <c r="N71" s="197"/>
    </row>
    <row r="72" spans="1:17" ht="15">
      <c r="A72" s="196"/>
      <c r="B72" s="197"/>
      <c r="G72" s="197"/>
    </row>
    <row r="73" spans="1:17" ht="15">
      <c r="A73" s="194"/>
      <c r="B73" s="201"/>
      <c r="E73" s="196"/>
      <c r="F73" s="197"/>
    </row>
    <row r="74" spans="1:17" ht="15">
      <c r="A74" s="196"/>
      <c r="B74" s="197"/>
      <c r="E74" s="196"/>
      <c r="F74" s="197"/>
      <c r="Q74" s="196"/>
    </row>
    <row r="75" spans="1:17" ht="15">
      <c r="A75" s="196"/>
      <c r="B75" s="197"/>
      <c r="E75" s="196"/>
      <c r="F75" s="197"/>
      <c r="Q75" s="196"/>
    </row>
    <row r="76" spans="1:17" ht="15">
      <c r="A76" s="194"/>
      <c r="B76" s="201"/>
      <c r="E76" s="196"/>
      <c r="F76" s="197"/>
      <c r="Q76" s="196"/>
    </row>
    <row r="77" spans="1:17" ht="15">
      <c r="A77" s="196"/>
      <c r="B77" s="197"/>
      <c r="E77" s="196"/>
      <c r="F77" s="197"/>
      <c r="Q77" s="196"/>
    </row>
    <row r="78" spans="1:17" ht="15">
      <c r="A78" s="196"/>
      <c r="B78" s="197"/>
      <c r="E78" s="196"/>
      <c r="F78" s="197"/>
      <c r="Q78" s="196"/>
    </row>
    <row r="79" spans="1:17" ht="15">
      <c r="A79" s="199"/>
      <c r="B79" s="201"/>
      <c r="E79" s="196"/>
      <c r="F79" s="197"/>
      <c r="Q79" s="196"/>
    </row>
    <row r="80" spans="1:17" ht="15">
      <c r="A80" s="196"/>
      <c r="B80" s="197"/>
      <c r="I80" s="196"/>
      <c r="Q80" s="196"/>
    </row>
    <row r="81" spans="1:14" ht="15">
      <c r="A81" s="196"/>
      <c r="B81" s="197"/>
      <c r="I81" s="197"/>
    </row>
    <row r="82" spans="1:14" ht="15">
      <c r="A82" s="199"/>
      <c r="B82" s="200"/>
      <c r="H82" s="196"/>
      <c r="J82" s="196"/>
      <c r="K82" s="196"/>
      <c r="L82" s="196"/>
      <c r="M82" s="196"/>
    </row>
    <row r="83" spans="1:14" ht="15">
      <c r="A83" s="196"/>
      <c r="B83" s="197"/>
      <c r="H83" s="197"/>
      <c r="J83" s="197"/>
      <c r="K83" s="197"/>
      <c r="L83" s="197"/>
      <c r="M83" s="197"/>
      <c r="N83" s="196"/>
    </row>
    <row r="84" spans="1:14" ht="15">
      <c r="A84" s="196"/>
      <c r="B84" s="197"/>
      <c r="G84" s="196"/>
      <c r="N84" s="197"/>
    </row>
    <row r="85" spans="1:14" ht="15">
      <c r="A85" s="197"/>
      <c r="B85" s="196"/>
      <c r="G85" s="197"/>
    </row>
    <row r="86" spans="1:14" ht="15">
      <c r="A86" s="197"/>
      <c r="B86" s="196"/>
      <c r="C86" s="197"/>
      <c r="F86" s="202"/>
    </row>
    <row r="87" spans="1:14" ht="15">
      <c r="A87" s="197"/>
      <c r="B87" s="196"/>
      <c r="C87" s="197"/>
      <c r="F87" s="202"/>
    </row>
    <row r="88" spans="1:14" ht="15">
      <c r="A88" s="197"/>
      <c r="B88" s="196"/>
      <c r="C88" s="197"/>
      <c r="F88" s="202"/>
    </row>
    <row r="89" spans="1:14" ht="15">
      <c r="A89" s="197"/>
      <c r="B89" s="196"/>
      <c r="C89" s="197"/>
      <c r="F89" s="202"/>
    </row>
    <row r="90" spans="1:14" ht="15">
      <c r="A90" s="197"/>
      <c r="B90" s="196"/>
      <c r="C90" s="197"/>
      <c r="F90" s="202"/>
    </row>
    <row r="91" spans="1:14" ht="15">
      <c r="A91" s="197"/>
      <c r="B91" s="196"/>
      <c r="C91" s="197"/>
      <c r="F91" s="202"/>
    </row>
    <row r="92" spans="1:14" ht="15">
      <c r="A92" s="197"/>
      <c r="B92" s="196"/>
      <c r="C92" s="197"/>
      <c r="F92" s="202"/>
    </row>
    <row r="93" spans="1:14" ht="15">
      <c r="A93" s="197"/>
      <c r="B93" s="196"/>
      <c r="C93" s="197"/>
      <c r="F93" s="202"/>
      <c r="I93" s="196"/>
    </row>
    <row r="94" spans="1:14" ht="15">
      <c r="A94" s="197"/>
      <c r="C94" s="197"/>
      <c r="F94" s="202"/>
      <c r="I94" s="197"/>
    </row>
    <row r="95" spans="1:14" ht="15">
      <c r="A95" s="197"/>
      <c r="C95" s="197"/>
      <c r="F95" s="202"/>
    </row>
    <row r="96" spans="1:14" ht="15">
      <c r="A96" s="197"/>
      <c r="C96" s="197"/>
      <c r="F96" s="202"/>
    </row>
    <row r="97" spans="1:14" ht="15">
      <c r="A97" s="197"/>
      <c r="C97" s="197"/>
      <c r="F97" s="202"/>
    </row>
    <row r="98" spans="1:14" ht="15">
      <c r="A98" s="197"/>
      <c r="C98" s="197"/>
      <c r="F98" s="202"/>
    </row>
    <row r="99" spans="1:14" ht="15">
      <c r="A99" s="197"/>
      <c r="C99" s="197"/>
      <c r="F99" s="202"/>
    </row>
    <row r="100" spans="1:14" ht="15">
      <c r="A100" s="197"/>
      <c r="C100" s="197"/>
      <c r="F100" s="202"/>
    </row>
    <row r="101" spans="1:14" ht="15">
      <c r="A101" s="197"/>
      <c r="C101" s="197"/>
      <c r="F101" s="202"/>
    </row>
    <row r="102" spans="1:14" ht="15">
      <c r="A102" s="197"/>
      <c r="C102" s="197"/>
      <c r="F102" s="202"/>
    </row>
    <row r="103" spans="1:14" ht="15">
      <c r="A103" s="197"/>
      <c r="C103" s="197"/>
      <c r="F103" s="202"/>
    </row>
    <row r="104" spans="1:14" ht="15">
      <c r="A104" s="197"/>
      <c r="C104" s="197"/>
      <c r="F104" s="202"/>
    </row>
    <row r="105" spans="1:14" ht="15">
      <c r="A105" s="197"/>
      <c r="C105" s="197"/>
      <c r="F105" s="202"/>
    </row>
    <row r="106" spans="1:14" ht="15">
      <c r="A106" s="197"/>
      <c r="C106" s="197"/>
      <c r="F106" s="202"/>
    </row>
    <row r="107" spans="1:14" ht="15">
      <c r="A107" s="197"/>
      <c r="C107" s="197"/>
      <c r="H107" s="196"/>
      <c r="J107" s="196"/>
      <c r="K107" s="196"/>
      <c r="L107" s="196"/>
      <c r="M107" s="196"/>
    </row>
    <row r="108" spans="1:14" ht="15">
      <c r="A108" s="197"/>
      <c r="C108" s="197"/>
      <c r="H108" s="197"/>
      <c r="J108" s="197"/>
      <c r="K108" s="197"/>
      <c r="L108" s="197"/>
      <c r="M108" s="197"/>
      <c r="N108" s="196"/>
    </row>
    <row r="109" spans="1:14" ht="15">
      <c r="A109" s="197"/>
      <c r="C109" s="197"/>
      <c r="G109" s="196"/>
      <c r="N109" s="197"/>
    </row>
    <row r="110" spans="1:14" ht="15">
      <c r="A110" s="197"/>
      <c r="C110" s="197"/>
      <c r="G110" s="197"/>
    </row>
    <row r="111" spans="1:14" ht="15">
      <c r="A111" s="197"/>
      <c r="C111" s="197"/>
    </row>
    <row r="112" spans="1:14" ht="15">
      <c r="A112" s="197"/>
      <c r="C112" s="197"/>
    </row>
    <row r="113" spans="1:9" ht="15">
      <c r="A113" s="197"/>
      <c r="C113" s="197"/>
    </row>
    <row r="114" spans="1:9" ht="15">
      <c r="A114" s="197"/>
      <c r="C114" s="197"/>
    </row>
    <row r="115" spans="1:9" ht="15">
      <c r="A115" s="197"/>
      <c r="C115" s="197"/>
    </row>
    <row r="116" spans="1:9" ht="15">
      <c r="A116" s="197"/>
      <c r="C116" s="197"/>
    </row>
    <row r="117" spans="1:9" ht="15">
      <c r="A117" s="197"/>
      <c r="C117" s="197"/>
    </row>
    <row r="118" spans="1:9" ht="15">
      <c r="A118" s="197"/>
      <c r="C118" s="197"/>
      <c r="I118" s="196"/>
    </row>
    <row r="119" spans="1:9" ht="15">
      <c r="A119" s="197"/>
      <c r="C119" s="197"/>
      <c r="I119" s="197"/>
    </row>
    <row r="120" spans="1:9" ht="15">
      <c r="A120" s="197"/>
      <c r="C120" s="197"/>
    </row>
    <row r="121" spans="1:9" ht="15">
      <c r="A121" s="197"/>
      <c r="C121" s="197"/>
    </row>
    <row r="122" spans="1:9" ht="15">
      <c r="A122" s="197"/>
      <c r="C122" s="197"/>
    </row>
    <row r="123" spans="1:9" ht="15">
      <c r="A123" s="197"/>
      <c r="C123" s="197"/>
    </row>
    <row r="124" spans="1:9" ht="15">
      <c r="A124" s="197"/>
      <c r="C124" s="197"/>
    </row>
    <row r="125" spans="1:9" ht="15">
      <c r="A125" s="197"/>
      <c r="C125" s="197"/>
    </row>
    <row r="126" spans="1:9" ht="15">
      <c r="A126" s="197"/>
      <c r="C126" s="197"/>
    </row>
    <row r="127" spans="1:9" ht="15">
      <c r="A127" s="197"/>
      <c r="C127" s="197"/>
    </row>
    <row r="128" spans="1:9" ht="15">
      <c r="A128" s="197"/>
      <c r="C128" s="197"/>
    </row>
    <row r="129" spans="1:3" ht="15">
      <c r="A129" s="197"/>
      <c r="C129" s="197"/>
    </row>
    <row r="130" spans="1:3" ht="15">
      <c r="A130" s="197"/>
      <c r="C130" s="197"/>
    </row>
    <row r="131" spans="1:3" ht="15">
      <c r="A131" s="197"/>
      <c r="C131" s="197"/>
    </row>
    <row r="132" spans="1:3" ht="15">
      <c r="A132" s="197"/>
      <c r="C132" s="197"/>
    </row>
    <row r="133" spans="1:3" ht="15">
      <c r="A133" s="197"/>
      <c r="C133" s="197"/>
    </row>
    <row r="134" spans="1:3" ht="15">
      <c r="A134" s="197"/>
      <c r="C134" s="197"/>
    </row>
    <row r="135" spans="1:3" ht="15">
      <c r="A135" s="197"/>
      <c r="C135" s="197"/>
    </row>
    <row r="136" spans="1:3" ht="15">
      <c r="A136" s="197"/>
      <c r="C136" s="197"/>
    </row>
    <row r="137" spans="1:3" ht="15">
      <c r="A137" s="197"/>
      <c r="C137" s="197"/>
    </row>
    <row r="138" spans="1:3" ht="15">
      <c r="A138" s="197"/>
      <c r="C138" s="197"/>
    </row>
    <row r="139" spans="1:3" ht="15">
      <c r="A139" s="197"/>
      <c r="C139" s="197"/>
    </row>
    <row r="140" spans="1:3" ht="15">
      <c r="A140" s="197"/>
      <c r="C140" s="197"/>
    </row>
    <row r="141" spans="1:3" ht="15">
      <c r="A141" s="197"/>
      <c r="C141" s="197"/>
    </row>
    <row r="142" spans="1:3" ht="15">
      <c r="A142" s="197"/>
      <c r="C142" s="197"/>
    </row>
    <row r="143" spans="1:3" ht="15">
      <c r="A143" s="197"/>
      <c r="C143" s="197"/>
    </row>
    <row r="144" spans="1:3" ht="15">
      <c r="A144" s="197"/>
      <c r="C144" s="197"/>
    </row>
    <row r="145" spans="1:14" ht="15">
      <c r="A145" s="197"/>
      <c r="C145" s="197"/>
      <c r="H145" s="196"/>
      <c r="J145" s="196"/>
      <c r="K145" s="196"/>
      <c r="L145" s="196"/>
      <c r="M145" s="196"/>
    </row>
    <row r="146" spans="1:14" ht="15">
      <c r="A146" s="197"/>
      <c r="C146" s="197"/>
      <c r="H146" s="197"/>
      <c r="J146" s="197"/>
      <c r="K146" s="197"/>
      <c r="L146" s="197"/>
      <c r="M146" s="197"/>
      <c r="N146" s="196"/>
    </row>
    <row r="147" spans="1:14" ht="15">
      <c r="A147" s="197"/>
      <c r="C147" s="197"/>
      <c r="G147" s="196"/>
      <c r="N147" s="197"/>
    </row>
    <row r="148" spans="1:14" ht="15">
      <c r="A148" s="197"/>
      <c r="C148" s="197"/>
      <c r="G148" s="197"/>
    </row>
    <row r="149" spans="1:14" ht="15">
      <c r="A149" s="197"/>
      <c r="C149" s="197"/>
    </row>
    <row r="150" spans="1:14" ht="15">
      <c r="A150" s="197"/>
      <c r="C150" s="197"/>
    </row>
    <row r="151" spans="1:14" ht="15">
      <c r="A151" s="197"/>
      <c r="C151" s="197"/>
    </row>
    <row r="152" spans="1:14" ht="15">
      <c r="A152" s="197"/>
      <c r="C152" s="197"/>
    </row>
    <row r="153" spans="1:14" ht="15">
      <c r="A153" s="197"/>
      <c r="C153" s="197"/>
    </row>
    <row r="154" spans="1:14" ht="15">
      <c r="A154" s="197"/>
      <c r="C154" s="197"/>
    </row>
    <row r="155" spans="1:14" ht="15">
      <c r="A155" s="197"/>
      <c r="C155" s="197"/>
    </row>
    <row r="156" spans="1:14" ht="15">
      <c r="A156" s="197"/>
      <c r="C156" s="197"/>
      <c r="I156" s="196"/>
    </row>
    <row r="157" spans="1:14" ht="15">
      <c r="A157" s="197"/>
      <c r="C157" s="197"/>
      <c r="I157" s="197"/>
    </row>
    <row r="158" spans="1:14" ht="15">
      <c r="A158" s="197"/>
      <c r="C158" s="197"/>
    </row>
    <row r="159" spans="1:14" ht="15">
      <c r="A159" s="197"/>
      <c r="C159" s="197"/>
    </row>
    <row r="160" spans="1:14" ht="15">
      <c r="A160" s="197"/>
      <c r="C160" s="197"/>
    </row>
    <row r="161" spans="1:3" ht="15">
      <c r="A161" s="197"/>
      <c r="C161" s="197"/>
    </row>
    <row r="162" spans="1:3" ht="15">
      <c r="A162" s="197"/>
      <c r="C162" s="197"/>
    </row>
    <row r="163" spans="1:3" ht="15">
      <c r="A163" s="197"/>
      <c r="C163" s="197"/>
    </row>
    <row r="164" spans="1:3" ht="15">
      <c r="A164" s="197"/>
      <c r="C164" s="197"/>
    </row>
    <row r="165" spans="1:3" ht="15">
      <c r="A165" s="197"/>
      <c r="C165" s="197"/>
    </row>
    <row r="166" spans="1:3" ht="15">
      <c r="A166" s="197"/>
      <c r="C166" s="197"/>
    </row>
    <row r="167" spans="1:3" ht="15">
      <c r="A167" s="197"/>
      <c r="C167" s="197"/>
    </row>
    <row r="168" spans="1:3" ht="15">
      <c r="A168" s="197"/>
      <c r="C168" s="197"/>
    </row>
    <row r="169" spans="1:3" ht="15">
      <c r="A169" s="197"/>
      <c r="C169" s="197"/>
    </row>
    <row r="170" spans="1:3" ht="15">
      <c r="A170" s="197"/>
      <c r="C170" s="197"/>
    </row>
    <row r="171" spans="1:3" ht="15">
      <c r="A171" s="197"/>
      <c r="C171" s="197"/>
    </row>
    <row r="172" spans="1:3" ht="15">
      <c r="A172" s="197"/>
      <c r="C172" s="197"/>
    </row>
    <row r="173" spans="1:3" ht="15">
      <c r="A173" s="197"/>
      <c r="C173" s="197"/>
    </row>
    <row r="174" spans="1:3" ht="15">
      <c r="A174" s="197"/>
      <c r="C174" s="197"/>
    </row>
    <row r="175" spans="1:3" ht="15">
      <c r="A175" s="197"/>
      <c r="C175" s="197"/>
    </row>
    <row r="176" spans="1:3" ht="15">
      <c r="A176" s="197"/>
      <c r="C176" s="197"/>
    </row>
    <row r="177" spans="1:14" ht="15">
      <c r="A177" s="197"/>
      <c r="C177" s="197"/>
    </row>
    <row r="178" spans="1:14" ht="15">
      <c r="A178" s="197"/>
      <c r="C178" s="197"/>
    </row>
    <row r="179" spans="1:14" ht="15">
      <c r="A179" s="197"/>
      <c r="C179" s="197"/>
    </row>
    <row r="180" spans="1:14" ht="15">
      <c r="A180" s="197"/>
      <c r="C180" s="197"/>
    </row>
    <row r="181" spans="1:14" ht="15">
      <c r="A181" s="197"/>
      <c r="C181" s="197"/>
    </row>
    <row r="182" spans="1:14" ht="15">
      <c r="A182" s="197"/>
      <c r="C182" s="197"/>
    </row>
    <row r="183" spans="1:14" ht="15">
      <c r="A183" s="197"/>
      <c r="C183" s="197"/>
      <c r="H183" s="196"/>
      <c r="J183" s="196"/>
      <c r="K183" s="196"/>
      <c r="L183" s="196"/>
      <c r="M183" s="196"/>
    </row>
    <row r="184" spans="1:14" ht="15">
      <c r="A184" s="197"/>
      <c r="C184" s="197"/>
      <c r="H184" s="197"/>
      <c r="J184" s="197"/>
      <c r="K184" s="197"/>
      <c r="L184" s="197"/>
      <c r="M184" s="197"/>
      <c r="N184" s="196"/>
    </row>
    <row r="185" spans="1:14" ht="15">
      <c r="A185" s="197"/>
      <c r="C185" s="197"/>
      <c r="G185" s="196"/>
      <c r="N185" s="197"/>
    </row>
    <row r="186" spans="1:14" ht="15">
      <c r="A186" s="197"/>
      <c r="C186" s="197"/>
      <c r="G186" s="197"/>
    </row>
    <row r="187" spans="1:14" ht="15">
      <c r="A187" s="197"/>
      <c r="C187" s="197"/>
    </row>
    <row r="188" spans="1:14" ht="15">
      <c r="A188" s="197"/>
      <c r="C188" s="197"/>
    </row>
    <row r="189" spans="1:14" ht="15">
      <c r="A189" s="197"/>
      <c r="C189" s="197"/>
    </row>
    <row r="190" spans="1:14" ht="15">
      <c r="A190" s="197"/>
      <c r="C190" s="197"/>
    </row>
    <row r="191" spans="1:14" ht="15">
      <c r="A191" s="197"/>
      <c r="C191" s="197"/>
    </row>
    <row r="192" spans="1:14" ht="15">
      <c r="A192" s="197"/>
      <c r="C192" s="197"/>
    </row>
    <row r="193" spans="1:13" ht="15">
      <c r="A193" s="197"/>
      <c r="C193" s="197"/>
    </row>
    <row r="194" spans="1:13" ht="15">
      <c r="A194" s="197"/>
      <c r="C194" s="197"/>
      <c r="I194" s="196"/>
    </row>
    <row r="195" spans="1:13" ht="15">
      <c r="A195" s="197"/>
      <c r="C195" s="197"/>
      <c r="I195" s="197"/>
    </row>
    <row r="196" spans="1:13" ht="15">
      <c r="A196" s="197"/>
      <c r="C196" s="197"/>
    </row>
    <row r="197" spans="1:13" ht="15">
      <c r="A197" s="197"/>
      <c r="C197" s="197"/>
    </row>
    <row r="198" spans="1:13" ht="15">
      <c r="A198" s="197"/>
      <c r="C198" s="197"/>
    </row>
    <row r="199" spans="1:13" ht="15">
      <c r="A199" s="197"/>
      <c r="C199" s="197"/>
    </row>
    <row r="200" spans="1:13" ht="15">
      <c r="A200" s="197"/>
      <c r="C200" s="197"/>
    </row>
    <row r="201" spans="1:13" ht="15">
      <c r="A201" s="201"/>
      <c r="C201" s="197"/>
    </row>
    <row r="202" spans="1:13" ht="15">
      <c r="A202" s="197"/>
      <c r="C202" s="197"/>
    </row>
    <row r="203" spans="1:13" ht="15">
      <c r="A203" s="197"/>
      <c r="C203" s="197"/>
    </row>
    <row r="204" spans="1:13" ht="15">
      <c r="A204" s="201"/>
      <c r="C204" s="197"/>
    </row>
    <row r="205" spans="1:13" ht="15">
      <c r="A205" s="197"/>
      <c r="C205" s="197"/>
    </row>
    <row r="206" spans="1:13" ht="15">
      <c r="A206" s="197"/>
      <c r="C206" s="197"/>
    </row>
    <row r="207" spans="1:13" ht="15">
      <c r="A207" s="200"/>
      <c r="C207" s="197"/>
    </row>
    <row r="208" spans="1:13" ht="15">
      <c r="A208" s="197"/>
      <c r="C208" s="197"/>
      <c r="H208" s="196"/>
      <c r="J208" s="196"/>
      <c r="K208" s="196"/>
      <c r="L208" s="196"/>
      <c r="M208" s="196"/>
    </row>
    <row r="209" spans="1:14" ht="15">
      <c r="A209" s="197"/>
      <c r="C209" s="197"/>
      <c r="H209" s="197"/>
      <c r="J209" s="197"/>
      <c r="K209" s="197"/>
      <c r="L209" s="197"/>
      <c r="M209" s="197"/>
      <c r="N209" s="196"/>
    </row>
    <row r="210" spans="1:14" ht="15">
      <c r="A210" s="197"/>
      <c r="C210" s="197"/>
      <c r="G210" s="196"/>
      <c r="N210" s="197"/>
    </row>
    <row r="211" spans="1:14" ht="15">
      <c r="A211" s="197"/>
      <c r="C211" s="197"/>
      <c r="G211" s="197"/>
    </row>
    <row r="212" spans="1:14" ht="15">
      <c r="A212" s="197"/>
      <c r="C212" s="197"/>
    </row>
    <row r="213" spans="1:14" ht="15">
      <c r="A213" s="197"/>
      <c r="C213" s="197"/>
    </row>
    <row r="214" spans="1:14" ht="15">
      <c r="A214" s="197"/>
      <c r="C214" s="197"/>
    </row>
    <row r="215" spans="1:14" ht="15">
      <c r="A215" s="197"/>
      <c r="C215" s="197"/>
    </row>
    <row r="216" spans="1:14" ht="15">
      <c r="A216" s="197"/>
      <c r="C216" s="197"/>
    </row>
    <row r="217" spans="1:14" ht="15">
      <c r="A217" s="197"/>
      <c r="C217" s="197"/>
    </row>
    <row r="218" spans="1:14" ht="15">
      <c r="A218" s="197"/>
      <c r="C218" s="197"/>
      <c r="H218" s="196"/>
      <c r="J218" s="196"/>
      <c r="K218" s="196"/>
      <c r="L218" s="196"/>
      <c r="M218" s="196"/>
    </row>
    <row r="219" spans="1:14" ht="15">
      <c r="A219" s="197"/>
      <c r="C219" s="197"/>
      <c r="H219" s="197"/>
      <c r="I219" s="196"/>
      <c r="J219" s="197"/>
      <c r="K219" s="197"/>
      <c r="L219" s="197"/>
      <c r="M219" s="197"/>
      <c r="N219" s="196"/>
    </row>
    <row r="220" spans="1:14" ht="15">
      <c r="A220" s="197"/>
      <c r="C220" s="197"/>
      <c r="G220" s="196"/>
      <c r="I220" s="197"/>
      <c r="N220" s="197"/>
    </row>
    <row r="221" spans="1:14" ht="15">
      <c r="A221" s="197"/>
      <c r="C221" s="197"/>
      <c r="G221" s="197"/>
    </row>
    <row r="222" spans="1:14" ht="15">
      <c r="A222" s="197"/>
      <c r="C222" s="197"/>
      <c r="E222" s="196"/>
    </row>
    <row r="223" spans="1:14" ht="15">
      <c r="A223" s="197"/>
      <c r="C223" s="197"/>
      <c r="E223" s="196"/>
    </row>
    <row r="224" spans="1:14" ht="15">
      <c r="A224" s="197"/>
      <c r="C224" s="197"/>
      <c r="E224" s="196"/>
    </row>
    <row r="225" spans="1:9" ht="15">
      <c r="A225" s="197"/>
      <c r="C225" s="197"/>
      <c r="E225" s="196"/>
    </row>
    <row r="226" spans="1:9" ht="15">
      <c r="A226" s="197"/>
      <c r="C226" s="197"/>
      <c r="E226" s="196"/>
    </row>
    <row r="227" spans="1:9" ht="15">
      <c r="A227" s="197"/>
      <c r="C227" s="197"/>
      <c r="E227" s="196"/>
    </row>
    <row r="228" spans="1:9" ht="15">
      <c r="A228" s="197"/>
      <c r="C228" s="197"/>
      <c r="E228" s="196"/>
    </row>
    <row r="229" spans="1:9" ht="15">
      <c r="A229" s="197"/>
      <c r="C229" s="197"/>
      <c r="E229" s="196"/>
      <c r="I229" s="196"/>
    </row>
    <row r="230" spans="1:9" ht="15">
      <c r="A230" s="197"/>
      <c r="C230" s="197"/>
      <c r="E230" s="196"/>
      <c r="I230" s="197"/>
    </row>
    <row r="231" spans="1:9" ht="15">
      <c r="A231" s="197"/>
      <c r="C231" s="197"/>
      <c r="E231" s="196"/>
    </row>
    <row r="232" spans="1:9" ht="15">
      <c r="A232" s="197"/>
      <c r="C232" s="197"/>
      <c r="E232" s="196"/>
    </row>
    <row r="233" spans="1:9" ht="15">
      <c r="A233" s="197"/>
      <c r="C233" s="197"/>
      <c r="E233" s="196"/>
    </row>
    <row r="234" spans="1:9" ht="15">
      <c r="A234" s="197"/>
      <c r="C234" s="197"/>
      <c r="E234" s="196"/>
    </row>
    <row r="235" spans="1:9" ht="15">
      <c r="A235" s="197"/>
      <c r="C235" s="197"/>
      <c r="E235" s="196"/>
    </row>
    <row r="236" spans="1:9" ht="15">
      <c r="A236" s="197"/>
      <c r="C236" s="197"/>
      <c r="E236" s="196"/>
    </row>
    <row r="237" spans="1:9" ht="15">
      <c r="A237" s="197"/>
      <c r="C237" s="197"/>
      <c r="E237" s="196"/>
    </row>
    <row r="238" spans="1:9" ht="15">
      <c r="A238" s="197"/>
      <c r="C238" s="197"/>
      <c r="E238" s="196"/>
    </row>
    <row r="239" spans="1:9" ht="15">
      <c r="A239" s="197"/>
      <c r="C239" s="197"/>
      <c r="E239" s="196"/>
    </row>
    <row r="240" spans="1:9" ht="15">
      <c r="A240" s="197"/>
      <c r="C240" s="197"/>
      <c r="E240" s="196"/>
    </row>
    <row r="241" spans="1:14" ht="15">
      <c r="A241" s="197"/>
      <c r="C241" s="197"/>
      <c r="E241" s="196"/>
    </row>
    <row r="242" spans="1:14" ht="15">
      <c r="A242" s="197"/>
      <c r="C242" s="197"/>
      <c r="E242" s="196"/>
    </row>
    <row r="243" spans="1:14" ht="15">
      <c r="A243" s="197"/>
      <c r="C243" s="197"/>
      <c r="E243" s="196"/>
    </row>
    <row r="244" spans="1:14" ht="15">
      <c r="A244" s="197"/>
      <c r="C244" s="197"/>
      <c r="E244" s="196"/>
    </row>
    <row r="245" spans="1:14" ht="15">
      <c r="A245" s="197"/>
      <c r="C245" s="197"/>
      <c r="E245" s="196"/>
    </row>
    <row r="246" spans="1:14" ht="15">
      <c r="A246" s="197"/>
      <c r="C246" s="197"/>
      <c r="E246" s="196"/>
    </row>
    <row r="247" spans="1:14" ht="15">
      <c r="A247" s="197"/>
      <c r="C247" s="197"/>
      <c r="E247" s="196"/>
    </row>
    <row r="248" spans="1:14" ht="15">
      <c r="A248" s="197"/>
      <c r="C248" s="197"/>
      <c r="E248" s="196"/>
    </row>
    <row r="249" spans="1:14" ht="15">
      <c r="A249" s="197"/>
      <c r="C249" s="197"/>
      <c r="E249" s="196"/>
      <c r="F249" s="197"/>
      <c r="H249" s="196"/>
      <c r="J249" s="196"/>
      <c r="K249" s="196"/>
      <c r="L249" s="196"/>
      <c r="M249" s="196"/>
    </row>
    <row r="250" spans="1:14" ht="15">
      <c r="A250" s="197"/>
      <c r="C250" s="197"/>
      <c r="H250" s="197"/>
      <c r="J250" s="197"/>
      <c r="K250" s="197"/>
      <c r="L250" s="197"/>
      <c r="M250" s="197"/>
      <c r="N250" s="196"/>
    </row>
    <row r="251" spans="1:14" ht="15">
      <c r="A251" s="197"/>
      <c r="C251" s="197"/>
      <c r="G251" s="196"/>
      <c r="N251" s="197"/>
    </row>
    <row r="252" spans="1:14" ht="15">
      <c r="A252" s="197"/>
      <c r="C252" s="197"/>
      <c r="G252" s="197"/>
    </row>
    <row r="253" spans="1:14" ht="15">
      <c r="A253" s="197"/>
      <c r="C253" s="197"/>
      <c r="E253" s="196"/>
    </row>
    <row r="254" spans="1:14" ht="15">
      <c r="A254" s="197"/>
      <c r="C254" s="197"/>
      <c r="E254" s="196"/>
    </row>
    <row r="255" spans="1:14" ht="15">
      <c r="A255" s="197"/>
      <c r="C255" s="197"/>
      <c r="E255" s="196"/>
    </row>
    <row r="256" spans="1:14" ht="15">
      <c r="A256" s="197"/>
      <c r="C256" s="197"/>
      <c r="E256" s="196"/>
    </row>
    <row r="257" spans="1:9" ht="15">
      <c r="A257" s="197"/>
      <c r="C257" s="197"/>
      <c r="E257" s="196"/>
    </row>
    <row r="258" spans="1:9" ht="15">
      <c r="A258" s="197"/>
      <c r="C258" s="197"/>
      <c r="E258" s="196"/>
    </row>
    <row r="259" spans="1:9" ht="15">
      <c r="A259" s="197"/>
      <c r="C259" s="197"/>
      <c r="E259" s="196"/>
    </row>
    <row r="260" spans="1:9" ht="15">
      <c r="A260" s="197"/>
      <c r="C260" s="197"/>
      <c r="E260" s="196"/>
      <c r="I260" s="196"/>
    </row>
    <row r="261" spans="1:9" ht="15">
      <c r="A261" s="197"/>
      <c r="C261" s="197"/>
      <c r="E261" s="196"/>
      <c r="I261" s="197"/>
    </row>
    <row r="262" spans="1:9" ht="15">
      <c r="A262" s="197"/>
      <c r="C262" s="197"/>
      <c r="E262" s="196"/>
    </row>
    <row r="263" spans="1:9" ht="15">
      <c r="A263" s="197"/>
      <c r="C263" s="197"/>
      <c r="E263" s="196"/>
    </row>
    <row r="264" spans="1:9" ht="15">
      <c r="A264" s="197"/>
      <c r="C264" s="197"/>
      <c r="E264" s="196"/>
    </row>
    <row r="265" spans="1:9" ht="15">
      <c r="A265" s="197"/>
      <c r="C265" s="197"/>
      <c r="E265" s="196"/>
    </row>
    <row r="266" spans="1:9" ht="15">
      <c r="A266" s="197"/>
      <c r="C266" s="197"/>
      <c r="E266" s="196"/>
    </row>
    <row r="267" spans="1:9" ht="15">
      <c r="A267" s="197"/>
      <c r="C267" s="197"/>
      <c r="E267" s="196"/>
    </row>
    <row r="268" spans="1:9" ht="15">
      <c r="A268" s="197"/>
      <c r="C268" s="197"/>
      <c r="E268" s="196"/>
    </row>
    <row r="269" spans="1:9" ht="15">
      <c r="A269" s="197"/>
      <c r="C269" s="197"/>
      <c r="E269" s="196"/>
    </row>
    <row r="270" spans="1:9" ht="15">
      <c r="A270" s="197"/>
      <c r="C270" s="197"/>
      <c r="E270" s="196"/>
    </row>
    <row r="271" spans="1:9" ht="15">
      <c r="A271" s="197"/>
      <c r="C271" s="197"/>
      <c r="E271" s="196"/>
    </row>
    <row r="272" spans="1:9" ht="15">
      <c r="A272" s="197"/>
      <c r="C272" s="197"/>
      <c r="E272" s="196"/>
    </row>
    <row r="273" spans="1:5" ht="15">
      <c r="A273" s="197"/>
      <c r="C273" s="197"/>
      <c r="E273" s="196"/>
    </row>
    <row r="274" spans="1:5" ht="15">
      <c r="A274" s="197"/>
      <c r="C274" s="197"/>
      <c r="E274" s="196"/>
    </row>
    <row r="275" spans="1:5" ht="15">
      <c r="A275" s="197"/>
      <c r="C275" s="197"/>
      <c r="E275" s="196"/>
    </row>
    <row r="276" spans="1:5" ht="15">
      <c r="A276" s="197"/>
      <c r="C276" s="197"/>
      <c r="E276" s="196"/>
    </row>
    <row r="277" spans="1:5" ht="15">
      <c r="A277" s="197"/>
      <c r="C277" s="197"/>
      <c r="E277" s="196"/>
    </row>
    <row r="278" spans="1:5" ht="15">
      <c r="A278" s="197"/>
      <c r="C278" s="197"/>
      <c r="E278" s="196"/>
    </row>
    <row r="279" spans="1:5" ht="15">
      <c r="A279" s="197"/>
      <c r="C279" s="197"/>
      <c r="E279" s="196"/>
    </row>
    <row r="280" spans="1:5" ht="15">
      <c r="A280" s="197"/>
      <c r="C280" s="197"/>
      <c r="E280" s="196"/>
    </row>
    <row r="281" spans="1:5" ht="15">
      <c r="A281" s="197"/>
      <c r="C281" s="197"/>
      <c r="E281" s="196"/>
    </row>
    <row r="282" spans="1:5" ht="15">
      <c r="A282" s="197"/>
      <c r="C282" s="197"/>
      <c r="E282" s="196"/>
    </row>
    <row r="283" spans="1:5" ht="15">
      <c r="A283" s="197"/>
      <c r="C283" s="197"/>
      <c r="E283" s="196"/>
    </row>
    <row r="284" spans="1:5" ht="15">
      <c r="A284" s="197"/>
      <c r="C284" s="197"/>
      <c r="E284" s="196"/>
    </row>
    <row r="285" spans="1:5" ht="15">
      <c r="A285" s="197"/>
      <c r="C285" s="197"/>
      <c r="E285" s="196"/>
    </row>
    <row r="286" spans="1:5" ht="15">
      <c r="A286" s="197"/>
      <c r="C286" s="197"/>
      <c r="E286" s="196"/>
    </row>
    <row r="287" spans="1:5" ht="15">
      <c r="A287" s="197"/>
      <c r="C287" s="197"/>
      <c r="E287" s="196"/>
    </row>
    <row r="288" spans="1:5" ht="15">
      <c r="A288" s="197"/>
      <c r="C288" s="197"/>
      <c r="E288" s="196"/>
    </row>
    <row r="289" spans="1:5" ht="15">
      <c r="A289" s="197"/>
      <c r="C289" s="197"/>
      <c r="E289" s="196"/>
    </row>
    <row r="290" spans="1:5" ht="15">
      <c r="A290" s="197"/>
      <c r="C290" s="197"/>
      <c r="E290" s="196"/>
    </row>
    <row r="291" spans="1:5" ht="15">
      <c r="A291" s="197"/>
      <c r="C291" s="197"/>
      <c r="E291" s="196"/>
    </row>
    <row r="292" spans="1:5" ht="15">
      <c r="A292" s="197"/>
      <c r="C292" s="197"/>
      <c r="E292" s="196"/>
    </row>
    <row r="293" spans="1:5" ht="15">
      <c r="A293" s="197"/>
      <c r="C293" s="197"/>
      <c r="E293" s="196"/>
    </row>
    <row r="294" spans="1:5" ht="15">
      <c r="A294" s="197"/>
      <c r="C294" s="197"/>
      <c r="E294" s="196"/>
    </row>
    <row r="295" spans="1:5" ht="15">
      <c r="A295" s="197"/>
      <c r="C295" s="197"/>
      <c r="E295" s="196"/>
    </row>
    <row r="296" spans="1:5" ht="15">
      <c r="A296" s="197"/>
      <c r="C296" s="197"/>
      <c r="E296" s="196"/>
    </row>
    <row r="297" spans="1:5" ht="15">
      <c r="A297" s="197"/>
      <c r="C297" s="197"/>
      <c r="E297" s="196"/>
    </row>
    <row r="298" spans="1:5" ht="15">
      <c r="A298" s="197"/>
      <c r="C298" s="197"/>
      <c r="E298" s="196"/>
    </row>
    <row r="299" spans="1:5" ht="15">
      <c r="A299" s="197"/>
      <c r="C299" s="197"/>
      <c r="E299" s="196"/>
    </row>
    <row r="300" spans="1:5" ht="15">
      <c r="A300" s="197"/>
      <c r="C300" s="197"/>
      <c r="E300" s="196"/>
    </row>
    <row r="301" spans="1:5" ht="15">
      <c r="A301" s="197"/>
      <c r="C301" s="197"/>
      <c r="E301" s="196"/>
    </row>
    <row r="302" spans="1:5" ht="15">
      <c r="A302" s="197"/>
      <c r="C302" s="197"/>
      <c r="E302" s="196"/>
    </row>
    <row r="303" spans="1:5" ht="15">
      <c r="A303" s="197"/>
      <c r="C303" s="197"/>
      <c r="E303" s="196"/>
    </row>
    <row r="304" spans="1:5" ht="15">
      <c r="A304" s="197"/>
      <c r="C304" s="197"/>
      <c r="E304" s="196"/>
    </row>
    <row r="305" spans="1:5" ht="15">
      <c r="A305" s="197"/>
      <c r="C305" s="197"/>
      <c r="E305" s="196"/>
    </row>
    <row r="306" spans="1:5" ht="15">
      <c r="A306" s="197"/>
      <c r="C306" s="197"/>
      <c r="E306" s="196"/>
    </row>
    <row r="307" spans="1:5" ht="15">
      <c r="A307" s="197"/>
      <c r="C307" s="197"/>
      <c r="E307" s="196"/>
    </row>
    <row r="308" spans="1:5" ht="15">
      <c r="A308" s="197"/>
      <c r="C308" s="197"/>
      <c r="E308" s="196"/>
    </row>
    <row r="309" spans="1:5" ht="15">
      <c r="A309" s="197"/>
      <c r="C309" s="197"/>
      <c r="E309" s="196"/>
    </row>
    <row r="310" spans="1:5" ht="15">
      <c r="A310" s="197"/>
      <c r="C310" s="197"/>
      <c r="E310" s="196"/>
    </row>
    <row r="311" spans="1:5" ht="15">
      <c r="A311" s="197"/>
      <c r="C311" s="197"/>
      <c r="E311" s="196"/>
    </row>
    <row r="312" spans="1:5" ht="15">
      <c r="A312" s="197"/>
      <c r="C312" s="197"/>
      <c r="E312" s="196"/>
    </row>
    <row r="313" spans="1:5" ht="15">
      <c r="A313" s="197"/>
      <c r="C313" s="197"/>
      <c r="E313" s="196"/>
    </row>
    <row r="314" spans="1:5" ht="15">
      <c r="A314" s="197"/>
      <c r="C314" s="197"/>
      <c r="E314" s="196"/>
    </row>
    <row r="315" spans="1:5" ht="15">
      <c r="A315" s="197"/>
      <c r="C315" s="197"/>
      <c r="E315" s="196"/>
    </row>
    <row r="316" spans="1:5" ht="15">
      <c r="A316" s="197"/>
      <c r="C316" s="197"/>
      <c r="E316" s="196"/>
    </row>
    <row r="317" spans="1:5" ht="15">
      <c r="A317" s="197"/>
      <c r="C317" s="197"/>
      <c r="E317" s="196"/>
    </row>
    <row r="318" spans="1:5" ht="15">
      <c r="A318" s="197"/>
      <c r="C318" s="197"/>
      <c r="E318" s="196"/>
    </row>
    <row r="319" spans="1:5" ht="15">
      <c r="A319" s="197"/>
      <c r="C319" s="197"/>
      <c r="E319" s="196"/>
    </row>
    <row r="320" spans="1:5" ht="15">
      <c r="A320" s="197"/>
      <c r="C320" s="197"/>
      <c r="E320" s="196"/>
    </row>
    <row r="321" spans="1:14" ht="15">
      <c r="A321" s="197"/>
      <c r="C321" s="197"/>
      <c r="E321" s="196"/>
    </row>
    <row r="322" spans="1:14" ht="15">
      <c r="A322" s="197"/>
      <c r="C322" s="197"/>
      <c r="E322" s="196"/>
    </row>
    <row r="323" spans="1:14" ht="15">
      <c r="A323" s="197"/>
      <c r="C323" s="197"/>
      <c r="E323" s="196"/>
    </row>
    <row r="324" spans="1:14" ht="15">
      <c r="A324" s="197"/>
      <c r="C324" s="197"/>
      <c r="E324" s="196"/>
    </row>
    <row r="325" spans="1:14" ht="15">
      <c r="A325" s="197"/>
      <c r="C325" s="197"/>
      <c r="E325" s="196"/>
    </row>
    <row r="326" spans="1:14" ht="15">
      <c r="A326" s="197"/>
      <c r="C326" s="197"/>
      <c r="E326" s="196"/>
    </row>
    <row r="327" spans="1:14" ht="15">
      <c r="A327" s="197"/>
      <c r="C327" s="197"/>
      <c r="E327" s="196"/>
    </row>
    <row r="328" spans="1:14" ht="15">
      <c r="A328" s="197"/>
      <c r="C328" s="197"/>
      <c r="E328" s="196"/>
    </row>
    <row r="329" spans="1:14" ht="15">
      <c r="A329" s="197"/>
      <c r="C329" s="197"/>
      <c r="E329" s="196"/>
      <c r="H329" s="196"/>
      <c r="J329" s="196"/>
      <c r="K329" s="196"/>
      <c r="L329" s="196"/>
      <c r="M329" s="196"/>
    </row>
    <row r="330" spans="1:14" ht="15">
      <c r="A330" s="197"/>
      <c r="C330" s="197"/>
      <c r="H330" s="197"/>
      <c r="J330" s="197"/>
      <c r="K330" s="197"/>
      <c r="L330" s="197"/>
      <c r="M330" s="197"/>
      <c r="N330" s="196"/>
    </row>
    <row r="331" spans="1:14" ht="15">
      <c r="A331" s="197"/>
      <c r="C331" s="197"/>
      <c r="G331" s="196"/>
      <c r="N331" s="197"/>
    </row>
    <row r="332" spans="1:14" ht="15">
      <c r="A332" s="197"/>
      <c r="C332" s="197"/>
      <c r="G332" s="197"/>
    </row>
    <row r="333" spans="1:14" ht="15">
      <c r="A333" s="197"/>
      <c r="C333" s="197"/>
      <c r="E333" s="196"/>
    </row>
    <row r="334" spans="1:14" ht="15">
      <c r="A334" s="197"/>
      <c r="C334" s="197"/>
      <c r="E334" s="196"/>
    </row>
    <row r="335" spans="1:14" ht="15">
      <c r="A335" s="197"/>
      <c r="C335" s="197"/>
      <c r="E335" s="196"/>
    </row>
    <row r="336" spans="1:14" ht="15">
      <c r="A336" s="197"/>
      <c r="C336" s="197"/>
      <c r="E336" s="196"/>
    </row>
    <row r="337" spans="1:9" ht="15">
      <c r="A337" s="197"/>
      <c r="C337" s="197"/>
      <c r="E337" s="196"/>
    </row>
    <row r="338" spans="1:9" ht="15">
      <c r="A338" s="197"/>
      <c r="C338" s="197"/>
      <c r="E338" s="196"/>
    </row>
    <row r="339" spans="1:9" ht="15">
      <c r="A339" s="197"/>
      <c r="C339" s="197"/>
      <c r="E339" s="196"/>
    </row>
    <row r="340" spans="1:9" ht="15">
      <c r="A340" s="197"/>
      <c r="C340" s="197"/>
      <c r="E340" s="196"/>
      <c r="I340" s="196"/>
    </row>
    <row r="341" spans="1:9" ht="15">
      <c r="A341" s="197"/>
      <c r="C341" s="197"/>
      <c r="E341" s="196"/>
      <c r="I341" s="197"/>
    </row>
    <row r="342" spans="1:9" ht="15">
      <c r="A342" s="197"/>
      <c r="C342" s="197"/>
      <c r="E342" s="196"/>
    </row>
    <row r="343" spans="1:9" ht="15">
      <c r="A343" s="197"/>
      <c r="C343" s="197"/>
      <c r="E343" s="196"/>
    </row>
    <row r="344" spans="1:9" ht="15">
      <c r="A344" s="197"/>
      <c r="C344" s="197"/>
      <c r="E344" s="196"/>
    </row>
    <row r="345" spans="1:9" ht="15">
      <c r="A345" s="197"/>
      <c r="C345" s="197"/>
      <c r="E345" s="196"/>
    </row>
    <row r="346" spans="1:9" ht="15">
      <c r="A346" s="197"/>
      <c r="C346" s="197"/>
      <c r="E346" s="196"/>
    </row>
    <row r="347" spans="1:9" ht="15">
      <c r="A347" s="197"/>
      <c r="C347" s="197"/>
      <c r="E347" s="196"/>
    </row>
    <row r="348" spans="1:9" ht="15">
      <c r="A348" s="197"/>
      <c r="C348" s="197"/>
      <c r="E348" s="196"/>
    </row>
    <row r="349" spans="1:9" ht="15">
      <c r="A349" s="197"/>
      <c r="C349" s="197"/>
      <c r="E349" s="196"/>
    </row>
    <row r="350" spans="1:9" ht="15">
      <c r="A350" s="197"/>
      <c r="C350" s="197"/>
      <c r="E350" s="196"/>
    </row>
    <row r="351" spans="1:9" ht="15">
      <c r="A351" s="197"/>
      <c r="C351" s="197"/>
      <c r="E351" s="196"/>
    </row>
    <row r="352" spans="1:9" ht="15">
      <c r="A352" s="197"/>
      <c r="C352" s="197"/>
      <c r="E352" s="196"/>
    </row>
    <row r="353" spans="1:5" ht="15">
      <c r="A353" s="197"/>
      <c r="C353" s="197"/>
      <c r="E353" s="196"/>
    </row>
    <row r="354" spans="1:5" ht="15">
      <c r="A354" s="197"/>
      <c r="C354" s="197"/>
      <c r="E354" s="196"/>
    </row>
    <row r="355" spans="1:5" ht="15">
      <c r="A355" s="197"/>
      <c r="C355" s="197"/>
      <c r="E355" s="196"/>
    </row>
    <row r="356" spans="1:5" ht="15">
      <c r="A356" s="197"/>
      <c r="C356" s="197"/>
      <c r="E356" s="196"/>
    </row>
    <row r="357" spans="1:5" ht="15">
      <c r="A357" s="197"/>
      <c r="C357" s="197"/>
      <c r="E357" s="196"/>
    </row>
    <row r="358" spans="1:5" ht="15">
      <c r="A358" s="197"/>
      <c r="C358" s="197"/>
      <c r="E358" s="196"/>
    </row>
    <row r="359" spans="1:5" ht="15">
      <c r="A359" s="197"/>
      <c r="C359" s="197"/>
      <c r="E359" s="196"/>
    </row>
    <row r="360" spans="1:5" ht="15">
      <c r="A360" s="197"/>
      <c r="C360" s="197"/>
      <c r="E360" s="196"/>
    </row>
    <row r="361" spans="1:5" ht="15">
      <c r="A361" s="197"/>
      <c r="C361" s="197"/>
      <c r="E361" s="196"/>
    </row>
    <row r="362" spans="1:5" ht="15">
      <c r="A362" s="197"/>
      <c r="C362" s="197"/>
      <c r="E362" s="196"/>
    </row>
    <row r="363" spans="1:5" ht="15">
      <c r="A363" s="197"/>
      <c r="C363" s="197"/>
      <c r="E363" s="196"/>
    </row>
    <row r="364" spans="1:5" ht="15">
      <c r="A364" s="197"/>
      <c r="C364" s="197"/>
      <c r="E364" s="196"/>
    </row>
    <row r="365" spans="1:5" ht="15">
      <c r="A365" s="197"/>
      <c r="C365" s="197"/>
      <c r="E365" s="196"/>
    </row>
    <row r="366" spans="1:5" ht="15">
      <c r="A366" s="197"/>
      <c r="C366" s="197"/>
      <c r="E366" s="196"/>
    </row>
    <row r="367" spans="1:5" ht="15">
      <c r="A367" s="197"/>
      <c r="C367" s="197"/>
      <c r="E367" s="196"/>
    </row>
    <row r="368" spans="1:5" ht="15">
      <c r="A368" s="197"/>
      <c r="C368" s="197"/>
      <c r="E368" s="196"/>
    </row>
    <row r="369" spans="1:5" ht="15">
      <c r="A369" s="197"/>
      <c r="C369" s="197"/>
      <c r="E369" s="196"/>
    </row>
    <row r="370" spans="1:5" ht="15">
      <c r="A370" s="197"/>
      <c r="C370" s="197"/>
      <c r="E370" s="196"/>
    </row>
    <row r="371" spans="1:5" ht="15">
      <c r="A371" s="197"/>
      <c r="C371" s="197"/>
      <c r="E371" s="196"/>
    </row>
    <row r="372" spans="1:5" ht="15">
      <c r="A372" s="197"/>
      <c r="C372" s="197"/>
      <c r="E372" s="196"/>
    </row>
    <row r="373" spans="1:5" ht="15">
      <c r="A373" s="197"/>
      <c r="C373" s="197"/>
      <c r="E373" s="196"/>
    </row>
    <row r="374" spans="1:5" ht="15">
      <c r="A374" s="197"/>
      <c r="C374" s="197"/>
      <c r="E374" s="196"/>
    </row>
    <row r="375" spans="1:5" ht="15">
      <c r="A375" s="197"/>
      <c r="C375" s="197"/>
      <c r="E375" s="196"/>
    </row>
    <row r="376" spans="1:5" ht="15">
      <c r="A376" s="197"/>
      <c r="C376" s="197"/>
      <c r="E376" s="196"/>
    </row>
    <row r="377" spans="1:5" ht="15">
      <c r="A377" s="197"/>
      <c r="E377" s="196"/>
    </row>
    <row r="378" spans="1:5" ht="15">
      <c r="A378" s="197"/>
      <c r="E378" s="196"/>
    </row>
    <row r="379" spans="1:5" ht="15">
      <c r="A379" s="197"/>
      <c r="E379" s="196"/>
    </row>
    <row r="380" spans="1:5" ht="15">
      <c r="A380" s="197"/>
      <c r="E380" s="196"/>
    </row>
    <row r="381" spans="1:5" ht="15">
      <c r="A381" s="197"/>
      <c r="E381" s="196"/>
    </row>
    <row r="382" spans="1:5" ht="15">
      <c r="A382" s="197"/>
      <c r="E382" s="196"/>
    </row>
    <row r="383" spans="1:5" ht="15">
      <c r="A383" s="197"/>
      <c r="E383" s="196"/>
    </row>
    <row r="384" spans="1:5" ht="15">
      <c r="A384" s="197"/>
      <c r="E384" s="196"/>
    </row>
    <row r="385" spans="1:5" ht="15">
      <c r="A385" s="197"/>
      <c r="E385" s="196"/>
    </row>
    <row r="386" spans="1:5" ht="15">
      <c r="A386" s="197"/>
      <c r="E386" s="196"/>
    </row>
    <row r="387" spans="1:5" ht="15">
      <c r="A387" s="197"/>
      <c r="E387" s="196"/>
    </row>
    <row r="388" spans="1:5" ht="15">
      <c r="A388" s="197"/>
      <c r="E388" s="196"/>
    </row>
    <row r="389" spans="1:5" ht="15">
      <c r="A389" s="197"/>
      <c r="E389" s="196"/>
    </row>
    <row r="390" spans="1:5" ht="15">
      <c r="A390" s="197"/>
      <c r="E390" s="196"/>
    </row>
    <row r="391" spans="1:5" ht="15">
      <c r="A391" s="197"/>
      <c r="E391" s="196"/>
    </row>
    <row r="392" spans="1:5" ht="15">
      <c r="A392" s="197"/>
      <c r="E392" s="196"/>
    </row>
    <row r="393" spans="1:5" ht="15">
      <c r="A393" s="197"/>
      <c r="E393" s="196"/>
    </row>
    <row r="394" spans="1:5" ht="15">
      <c r="A394" s="197"/>
      <c r="E394" s="196"/>
    </row>
    <row r="395" spans="1:5" ht="15">
      <c r="A395" s="197"/>
      <c r="E395" s="196"/>
    </row>
    <row r="396" spans="1:5" ht="15">
      <c r="A396" s="197"/>
      <c r="E396" s="196"/>
    </row>
    <row r="397" spans="1:5" ht="15">
      <c r="A397" s="197"/>
      <c r="E397" s="196"/>
    </row>
    <row r="398" spans="1:5" ht="15">
      <c r="A398" s="197"/>
      <c r="E398" s="196"/>
    </row>
    <row r="399" spans="1:5" ht="15">
      <c r="A399" s="197"/>
      <c r="E399" s="196"/>
    </row>
    <row r="400" spans="1:5" ht="15">
      <c r="A400" s="197"/>
      <c r="E400" s="196"/>
    </row>
    <row r="401" spans="1:5" ht="15">
      <c r="A401" s="197"/>
      <c r="E401" s="196"/>
    </row>
    <row r="402" spans="1:5" ht="15">
      <c r="A402" s="197"/>
      <c r="E402" s="196"/>
    </row>
    <row r="403" spans="1:5" ht="15">
      <c r="A403" s="197"/>
      <c r="E403" s="196"/>
    </row>
    <row r="404" spans="1:5" ht="15">
      <c r="A404" s="197"/>
      <c r="E404" s="196"/>
    </row>
    <row r="405" spans="1:5" ht="15">
      <c r="A405" s="197"/>
      <c r="E405" s="196"/>
    </row>
    <row r="406" spans="1:5" ht="15">
      <c r="A406" s="197"/>
      <c r="E406" s="196"/>
    </row>
    <row r="407" spans="1:5" ht="15">
      <c r="A407" s="197"/>
      <c r="E407" s="196"/>
    </row>
    <row r="408" spans="1:5" ht="15">
      <c r="A408" s="197"/>
      <c r="E408" s="196"/>
    </row>
    <row r="409" spans="1:5" ht="15">
      <c r="A409" s="197"/>
      <c r="E409" s="196"/>
    </row>
    <row r="410" spans="1:5" ht="15">
      <c r="A410" s="197"/>
      <c r="E410" s="196"/>
    </row>
    <row r="411" spans="1:5" ht="15">
      <c r="A411" s="197"/>
      <c r="E411" s="196"/>
    </row>
    <row r="412" spans="1:5" ht="15">
      <c r="A412" s="197"/>
      <c r="E412" s="196"/>
    </row>
    <row r="413" spans="1:5" ht="15">
      <c r="A413" s="197"/>
      <c r="E413" s="196"/>
    </row>
    <row r="414" spans="1:5" ht="15">
      <c r="A414" s="197"/>
      <c r="E414" s="196"/>
    </row>
    <row r="415" spans="1:5" ht="15">
      <c r="A415" s="197"/>
      <c r="E415" s="196"/>
    </row>
    <row r="416" spans="1:5" ht="15">
      <c r="A416" s="197"/>
      <c r="E416" s="196"/>
    </row>
    <row r="417" spans="1:5" ht="15">
      <c r="A417" s="197"/>
      <c r="E417" s="196"/>
    </row>
    <row r="418" spans="1:5" ht="15">
      <c r="A418" s="197"/>
      <c r="E418" s="196"/>
    </row>
    <row r="419" spans="1:5" ht="15">
      <c r="A419" s="197"/>
      <c r="E419" s="196"/>
    </row>
    <row r="420" spans="1:5" ht="15">
      <c r="A420" s="197"/>
      <c r="E420" s="196"/>
    </row>
    <row r="421" spans="1:5" ht="15">
      <c r="A421" s="197"/>
      <c r="E421" s="196"/>
    </row>
    <row r="422" spans="1:5" ht="15">
      <c r="A422" s="197"/>
      <c r="E422" s="196"/>
    </row>
    <row r="423" spans="1:5" ht="15">
      <c r="A423" s="197"/>
      <c r="E423" s="196"/>
    </row>
    <row r="424" spans="1:5" ht="15">
      <c r="A424" s="197"/>
      <c r="E424" s="196"/>
    </row>
    <row r="425" spans="1:5" ht="15">
      <c r="A425" s="197"/>
      <c r="E425" s="196"/>
    </row>
    <row r="426" spans="1:5" ht="15">
      <c r="A426" s="197"/>
      <c r="E426" s="196"/>
    </row>
    <row r="427" spans="1:5" ht="15">
      <c r="A427" s="197"/>
      <c r="E427" s="196"/>
    </row>
    <row r="428" spans="1:5" ht="15">
      <c r="A428" s="197"/>
      <c r="E428" s="196"/>
    </row>
    <row r="429" spans="1:5" ht="15">
      <c r="A429" s="197"/>
      <c r="E429" s="196"/>
    </row>
    <row r="430" spans="1:5" ht="15">
      <c r="A430" s="197"/>
      <c r="E430" s="196"/>
    </row>
    <row r="431" spans="1:5" ht="15">
      <c r="A431" s="197"/>
      <c r="E431" s="196"/>
    </row>
    <row r="432" spans="1:5" ht="15">
      <c r="A432" s="197"/>
      <c r="E432" s="196"/>
    </row>
    <row r="433" spans="1:5" ht="15">
      <c r="A433" s="197"/>
      <c r="E433" s="196"/>
    </row>
    <row r="434" spans="1:5" ht="15">
      <c r="A434" s="197"/>
      <c r="E434" s="196"/>
    </row>
    <row r="435" spans="1:5" ht="15">
      <c r="A435" s="197"/>
      <c r="E435" s="196"/>
    </row>
    <row r="436" spans="1:5" ht="15">
      <c r="A436" s="197"/>
      <c r="E436" s="196"/>
    </row>
    <row r="437" spans="1:5" ht="15">
      <c r="A437" s="197"/>
      <c r="E437" s="196"/>
    </row>
    <row r="438" spans="1:5" ht="15">
      <c r="A438" s="197"/>
      <c r="E438" s="196"/>
    </row>
    <row r="439" spans="1:5" ht="15">
      <c r="A439" s="197"/>
      <c r="E439" s="196"/>
    </row>
    <row r="440" spans="1:5" ht="15">
      <c r="A440" s="197"/>
      <c r="E440" s="196"/>
    </row>
    <row r="441" spans="1:5" ht="15">
      <c r="A441" s="197"/>
      <c r="E441" s="196"/>
    </row>
    <row r="442" spans="1:5" ht="15">
      <c r="A442" s="197"/>
      <c r="E442" s="196"/>
    </row>
    <row r="443" spans="1:5" ht="15">
      <c r="A443" s="197"/>
      <c r="E443" s="196"/>
    </row>
    <row r="444" spans="1:5" ht="15">
      <c r="A444" s="197"/>
      <c r="E444" s="196"/>
    </row>
    <row r="445" spans="1:5" ht="15">
      <c r="A445" s="197"/>
      <c r="E445" s="196"/>
    </row>
    <row r="446" spans="1:5" ht="15">
      <c r="A446" s="197"/>
      <c r="E446" s="196"/>
    </row>
    <row r="447" spans="1:5" ht="15">
      <c r="A447" s="197"/>
      <c r="E447" s="196"/>
    </row>
    <row r="448" spans="1:5" ht="15">
      <c r="A448" s="197"/>
      <c r="E448" s="196"/>
    </row>
    <row r="449" spans="1:5" ht="15">
      <c r="A449" s="197"/>
      <c r="E449" s="196"/>
    </row>
    <row r="450" spans="1:5" ht="15">
      <c r="A450" s="197"/>
      <c r="E450" s="196"/>
    </row>
    <row r="451" spans="1:5" ht="15">
      <c r="A451" s="197"/>
      <c r="E451" s="196"/>
    </row>
    <row r="452" spans="1:5" ht="15">
      <c r="A452" s="197"/>
      <c r="E452" s="196"/>
    </row>
    <row r="453" spans="1:5" ht="15">
      <c r="A453" s="197"/>
      <c r="E453" s="196"/>
    </row>
    <row r="454" spans="1:5" ht="15">
      <c r="A454" s="197"/>
      <c r="E454" s="196"/>
    </row>
    <row r="455" spans="1:5" ht="15">
      <c r="A455" s="197"/>
      <c r="E455" s="196"/>
    </row>
    <row r="456" spans="1:5" ht="15">
      <c r="A456" s="197"/>
      <c r="E456" s="196"/>
    </row>
    <row r="457" spans="1:5" ht="15">
      <c r="A457" s="197"/>
      <c r="E457" s="196"/>
    </row>
    <row r="458" spans="1:5" ht="15">
      <c r="A458" s="197"/>
      <c r="E458" s="196"/>
    </row>
    <row r="459" spans="1:5" ht="15">
      <c r="A459" s="197"/>
      <c r="E459" s="196"/>
    </row>
    <row r="460" spans="1:5" ht="15">
      <c r="A460" s="197"/>
      <c r="E460" s="196"/>
    </row>
    <row r="461" spans="1:5" ht="15">
      <c r="A461" s="197"/>
      <c r="E461" s="196"/>
    </row>
    <row r="462" spans="1:5" ht="15">
      <c r="A462" s="197"/>
      <c r="E462" s="196"/>
    </row>
    <row r="463" spans="1:5" ht="15">
      <c r="A463" s="197"/>
      <c r="E463" s="196"/>
    </row>
    <row r="464" spans="1:5" ht="15">
      <c r="A464" s="197"/>
      <c r="E464" s="196"/>
    </row>
    <row r="465" spans="1:5" ht="15">
      <c r="A465" s="197"/>
      <c r="E465" s="196"/>
    </row>
    <row r="466" spans="1:5" ht="15">
      <c r="A466" s="197"/>
      <c r="E466" s="196"/>
    </row>
    <row r="467" spans="1:5" ht="15">
      <c r="A467" s="197"/>
      <c r="E467" s="196"/>
    </row>
    <row r="468" spans="1:5" ht="15">
      <c r="A468" s="197"/>
      <c r="E468" s="196"/>
    </row>
    <row r="469" spans="1:5" ht="15">
      <c r="A469" s="197"/>
      <c r="E469" s="196"/>
    </row>
    <row r="470" spans="1:5" ht="15">
      <c r="A470" s="197"/>
      <c r="E470" s="196"/>
    </row>
    <row r="471" spans="1:5" ht="15">
      <c r="A471" s="197"/>
      <c r="E471" s="196"/>
    </row>
    <row r="472" spans="1:5" ht="15">
      <c r="A472" s="197"/>
      <c r="E472" s="196"/>
    </row>
    <row r="473" spans="1:5" ht="15">
      <c r="A473" s="197"/>
      <c r="E473" s="196"/>
    </row>
    <row r="474" spans="1:5" ht="15">
      <c r="A474" s="197"/>
      <c r="E474" s="196"/>
    </row>
    <row r="475" spans="1:5" ht="15">
      <c r="A475" s="197"/>
      <c r="E475" s="196"/>
    </row>
    <row r="476" spans="1:5" ht="15">
      <c r="A476" s="197"/>
      <c r="E476" s="196"/>
    </row>
    <row r="477" spans="1:5" ht="15">
      <c r="A477" s="197"/>
      <c r="E477" s="196"/>
    </row>
    <row r="478" spans="1:5" ht="15">
      <c r="A478" s="197"/>
      <c r="E478" s="196"/>
    </row>
    <row r="479" spans="1:5" ht="15">
      <c r="A479" s="197"/>
      <c r="E479" s="196"/>
    </row>
    <row r="480" spans="1:5" ht="15">
      <c r="A480" s="197"/>
      <c r="E480" s="196"/>
    </row>
    <row r="481" spans="1:14" ht="15">
      <c r="A481" s="197"/>
      <c r="E481" s="196"/>
    </row>
    <row r="482" spans="1:14" ht="15">
      <c r="A482" s="197"/>
      <c r="E482" s="196"/>
    </row>
    <row r="483" spans="1:14" ht="15">
      <c r="A483" s="197"/>
      <c r="E483" s="196"/>
    </row>
    <row r="484" spans="1:14" ht="15">
      <c r="A484" s="197"/>
      <c r="E484" s="196"/>
    </row>
    <row r="485" spans="1:14" ht="15">
      <c r="A485" s="197"/>
      <c r="E485" s="196"/>
    </row>
    <row r="486" spans="1:14" ht="15">
      <c r="A486" s="197"/>
      <c r="E486" s="196"/>
    </row>
    <row r="487" spans="1:14" ht="15">
      <c r="A487" s="197"/>
      <c r="E487" s="196"/>
    </row>
    <row r="488" spans="1:14" ht="15">
      <c r="A488" s="197"/>
      <c r="E488" s="196"/>
    </row>
    <row r="489" spans="1:14" ht="15">
      <c r="A489" s="197"/>
      <c r="E489" s="196"/>
    </row>
    <row r="490" spans="1:14" ht="15">
      <c r="A490" s="197"/>
      <c r="E490" s="196"/>
    </row>
    <row r="491" spans="1:14" ht="15">
      <c r="A491" s="197"/>
      <c r="E491" s="196"/>
    </row>
    <row r="492" spans="1:14" ht="15">
      <c r="A492" s="197"/>
      <c r="E492" s="196"/>
    </row>
    <row r="493" spans="1:14" ht="15">
      <c r="A493" s="197"/>
      <c r="E493" s="196"/>
      <c r="F493" s="197"/>
      <c r="H493" s="196"/>
      <c r="J493" s="196"/>
      <c r="K493" s="196"/>
      <c r="L493" s="196"/>
      <c r="M493" s="196"/>
    </row>
    <row r="494" spans="1:14" ht="15">
      <c r="A494" s="197"/>
      <c r="H494" s="197"/>
      <c r="J494" s="197"/>
      <c r="K494" s="197"/>
      <c r="L494" s="197"/>
      <c r="M494" s="197"/>
      <c r="N494" s="196"/>
    </row>
    <row r="495" spans="1:14" ht="15">
      <c r="A495" s="197"/>
      <c r="G495" s="196"/>
      <c r="N495" s="197"/>
    </row>
    <row r="496" spans="1:14" ht="15">
      <c r="A496" s="197"/>
      <c r="G496" s="197"/>
    </row>
    <row r="497" spans="1:9" ht="15">
      <c r="A497" s="197"/>
      <c r="E497" s="196"/>
    </row>
    <row r="498" spans="1:9" ht="15">
      <c r="A498" s="197"/>
      <c r="E498" s="196"/>
    </row>
    <row r="499" spans="1:9" ht="15">
      <c r="A499" s="197"/>
      <c r="E499" s="196"/>
    </row>
    <row r="500" spans="1:9" ht="15">
      <c r="A500" s="197"/>
      <c r="E500" s="196"/>
    </row>
    <row r="501" spans="1:9" ht="15">
      <c r="A501" s="197"/>
      <c r="E501" s="196"/>
    </row>
    <row r="502" spans="1:9" ht="15">
      <c r="A502" s="197"/>
      <c r="E502" s="196"/>
    </row>
    <row r="503" spans="1:9" ht="15">
      <c r="A503" s="197"/>
      <c r="E503" s="196"/>
    </row>
    <row r="504" spans="1:9" ht="15">
      <c r="A504" s="197"/>
      <c r="E504" s="196"/>
      <c r="I504" s="196"/>
    </row>
    <row r="505" spans="1:9" ht="15">
      <c r="A505" s="197"/>
      <c r="E505" s="196"/>
      <c r="I505" s="197"/>
    </row>
    <row r="506" spans="1:9" ht="15">
      <c r="A506" s="197"/>
      <c r="E506" s="196"/>
    </row>
    <row r="507" spans="1:9" ht="15">
      <c r="A507" s="197"/>
      <c r="E507" s="196"/>
    </row>
    <row r="508" spans="1:9" ht="15">
      <c r="A508" s="197"/>
      <c r="E508" s="196"/>
    </row>
    <row r="509" spans="1:9" ht="15">
      <c r="A509" s="197"/>
      <c r="E509" s="196"/>
    </row>
    <row r="510" spans="1:9" ht="15">
      <c r="A510" s="197"/>
      <c r="E510" s="196"/>
    </row>
    <row r="511" spans="1:9" ht="15">
      <c r="A511" s="197"/>
      <c r="E511" s="196"/>
    </row>
    <row r="512" spans="1:9" ht="15">
      <c r="A512" s="197"/>
      <c r="E512" s="196"/>
    </row>
    <row r="513" spans="1:5" ht="15">
      <c r="A513" s="197"/>
      <c r="E513" s="196"/>
    </row>
    <row r="514" spans="1:5" ht="15">
      <c r="A514" s="197"/>
      <c r="E514" s="196"/>
    </row>
    <row r="515" spans="1:5" ht="15">
      <c r="A515" s="197"/>
      <c r="E515" s="196"/>
    </row>
    <row r="516" spans="1:5" ht="15">
      <c r="A516" s="197"/>
      <c r="E516" s="196"/>
    </row>
    <row r="517" spans="1:5" ht="15">
      <c r="A517" s="197"/>
      <c r="E517" s="196"/>
    </row>
    <row r="518" spans="1:5" ht="15">
      <c r="A518" s="197"/>
      <c r="E518" s="196"/>
    </row>
    <row r="519" spans="1:5" ht="15">
      <c r="A519" s="197"/>
      <c r="E519" s="196"/>
    </row>
    <row r="520" spans="1:5" ht="15">
      <c r="A520" s="197"/>
      <c r="E520" s="196"/>
    </row>
    <row r="521" spans="1:5" ht="15">
      <c r="A521" s="197"/>
      <c r="E521" s="196"/>
    </row>
    <row r="522" spans="1:5" ht="15">
      <c r="A522" s="197"/>
      <c r="E522" s="196"/>
    </row>
    <row r="523" spans="1:5" ht="15">
      <c r="A523" s="197"/>
      <c r="E523" s="196"/>
    </row>
    <row r="524" spans="1:5" ht="15">
      <c r="A524" s="197"/>
      <c r="E524" s="196"/>
    </row>
    <row r="525" spans="1:5" ht="15">
      <c r="A525" s="197"/>
      <c r="E525" s="196"/>
    </row>
    <row r="526" spans="1:5" ht="15">
      <c r="A526" s="197"/>
      <c r="E526" s="196"/>
    </row>
    <row r="527" spans="1:5" ht="15">
      <c r="A527" s="197"/>
      <c r="E527" s="196"/>
    </row>
    <row r="528" spans="1:5" ht="15">
      <c r="A528" s="197"/>
      <c r="E528" s="196"/>
    </row>
    <row r="529" spans="1:5" ht="15">
      <c r="A529" s="197"/>
      <c r="E529" s="196"/>
    </row>
    <row r="530" spans="1:5" ht="15">
      <c r="A530" s="197"/>
      <c r="E530" s="196"/>
    </row>
    <row r="531" spans="1:5" ht="15">
      <c r="A531" s="197"/>
      <c r="E531" s="196"/>
    </row>
    <row r="532" spans="1:5" ht="15">
      <c r="A532" s="197"/>
      <c r="E532" s="196"/>
    </row>
    <row r="533" spans="1:5" ht="15">
      <c r="A533" s="197"/>
      <c r="E533" s="196"/>
    </row>
    <row r="534" spans="1:5" ht="15">
      <c r="A534" s="197"/>
      <c r="E534" s="196"/>
    </row>
    <row r="535" spans="1:5" ht="15">
      <c r="A535" s="197"/>
      <c r="E535" s="196"/>
    </row>
    <row r="536" spans="1:5" ht="15">
      <c r="A536" s="197"/>
      <c r="E536" s="196"/>
    </row>
    <row r="537" spans="1:5" ht="15">
      <c r="A537" s="197"/>
      <c r="E537" s="196"/>
    </row>
    <row r="538" spans="1:5" ht="15">
      <c r="A538" s="197"/>
      <c r="E538" s="196"/>
    </row>
    <row r="539" spans="1:5" ht="15">
      <c r="A539" s="197"/>
      <c r="E539" s="196"/>
    </row>
    <row r="540" spans="1:5" ht="15">
      <c r="A540" s="197"/>
      <c r="E540" s="196"/>
    </row>
    <row r="541" spans="1:5" ht="15">
      <c r="A541" s="197"/>
      <c r="E541" s="196"/>
    </row>
    <row r="542" spans="1:5" ht="15">
      <c r="A542" s="197"/>
      <c r="E542" s="196"/>
    </row>
    <row r="543" spans="1:5" ht="15">
      <c r="A543" s="197"/>
      <c r="E543" s="196"/>
    </row>
    <row r="544" spans="1:5" ht="15">
      <c r="A544" s="197"/>
      <c r="E544" s="196"/>
    </row>
    <row r="545" spans="1:5" ht="15">
      <c r="A545" s="197"/>
      <c r="E545" s="196"/>
    </row>
    <row r="546" spans="1:5" ht="15">
      <c r="A546" s="197"/>
      <c r="E546" s="196"/>
    </row>
    <row r="547" spans="1:5" ht="15">
      <c r="A547" s="197"/>
      <c r="E547" s="196"/>
    </row>
    <row r="548" spans="1:5" ht="15">
      <c r="A548" s="197"/>
      <c r="E548" s="196"/>
    </row>
    <row r="549" spans="1:5" ht="15">
      <c r="A549" s="197"/>
      <c r="E549" s="196"/>
    </row>
    <row r="550" spans="1:5" ht="15">
      <c r="A550" s="197"/>
      <c r="E550" s="196"/>
    </row>
    <row r="551" spans="1:5" ht="15">
      <c r="A551" s="197"/>
      <c r="E551" s="196"/>
    </row>
    <row r="552" spans="1:5" ht="15">
      <c r="A552" s="197"/>
      <c r="E552" s="196"/>
    </row>
    <row r="553" spans="1:5" ht="15">
      <c r="A553" s="197"/>
      <c r="E553" s="196"/>
    </row>
    <row r="554" spans="1:5" ht="15">
      <c r="A554" s="197"/>
      <c r="E554" s="196"/>
    </row>
    <row r="555" spans="1:5" ht="15">
      <c r="A555" s="197"/>
      <c r="E555" s="196"/>
    </row>
    <row r="556" spans="1:5" ht="15">
      <c r="A556" s="197"/>
      <c r="E556" s="196"/>
    </row>
    <row r="557" spans="1:5" ht="15">
      <c r="A557" s="197"/>
      <c r="E557" s="196"/>
    </row>
    <row r="558" spans="1:5" ht="15">
      <c r="A558" s="197"/>
      <c r="E558" s="196"/>
    </row>
    <row r="559" spans="1:5" ht="15">
      <c r="A559" s="197"/>
      <c r="E559" s="196"/>
    </row>
    <row r="560" spans="1:5" ht="15">
      <c r="A560" s="197"/>
      <c r="E560" s="196"/>
    </row>
    <row r="561" spans="1:5" ht="15">
      <c r="A561" s="197"/>
      <c r="E561" s="196"/>
    </row>
    <row r="562" spans="1:5" ht="15">
      <c r="A562" s="197"/>
      <c r="E562" s="196"/>
    </row>
    <row r="563" spans="1:5" ht="15">
      <c r="A563" s="197"/>
      <c r="E563" s="196"/>
    </row>
    <row r="564" spans="1:5" ht="15">
      <c r="A564" s="197"/>
      <c r="E564" s="196"/>
    </row>
    <row r="565" spans="1:5" ht="15">
      <c r="A565" s="197"/>
      <c r="E565" s="196"/>
    </row>
    <row r="566" spans="1:5" ht="15">
      <c r="A566" s="197"/>
      <c r="E566" s="196"/>
    </row>
    <row r="567" spans="1:5" ht="15">
      <c r="A567" s="197"/>
      <c r="E567" s="196"/>
    </row>
    <row r="568" spans="1:5" ht="15">
      <c r="A568" s="197"/>
      <c r="E568" s="196"/>
    </row>
    <row r="569" spans="1:5" ht="15">
      <c r="A569" s="197"/>
      <c r="E569" s="196"/>
    </row>
    <row r="570" spans="1:5" ht="15">
      <c r="A570" s="197"/>
      <c r="E570" s="196"/>
    </row>
    <row r="571" spans="1:5" ht="15">
      <c r="A571" s="197"/>
      <c r="E571" s="196"/>
    </row>
    <row r="572" spans="1:5" ht="15">
      <c r="A572" s="197"/>
      <c r="E572" s="196"/>
    </row>
    <row r="573" spans="1:5" ht="15">
      <c r="A573" s="197"/>
      <c r="E573" s="196"/>
    </row>
    <row r="574" spans="1:5" ht="15">
      <c r="A574" s="197"/>
      <c r="E574" s="196"/>
    </row>
    <row r="575" spans="1:5" ht="15">
      <c r="A575" s="197"/>
      <c r="E575" s="196"/>
    </row>
    <row r="576" spans="1:5" ht="15">
      <c r="A576" s="197"/>
      <c r="E576" s="196"/>
    </row>
    <row r="577" spans="1:5" ht="15">
      <c r="A577" s="197"/>
      <c r="E577" s="196"/>
    </row>
    <row r="578" spans="1:5" ht="15">
      <c r="A578" s="197"/>
      <c r="E578" s="196"/>
    </row>
    <row r="579" spans="1:5" ht="15">
      <c r="A579" s="197"/>
      <c r="E579" s="196"/>
    </row>
    <row r="580" spans="1:5" ht="15">
      <c r="A580" s="197"/>
      <c r="E580" s="196"/>
    </row>
    <row r="581" spans="1:5" ht="15">
      <c r="A581" s="197"/>
      <c r="E581" s="196"/>
    </row>
    <row r="582" spans="1:5" ht="15">
      <c r="A582" s="197"/>
      <c r="E582" s="196"/>
    </row>
    <row r="583" spans="1:5" ht="15">
      <c r="A583" s="197"/>
      <c r="E583" s="196"/>
    </row>
    <row r="584" spans="1:5" ht="15">
      <c r="A584" s="197"/>
      <c r="E584" s="196"/>
    </row>
    <row r="585" spans="1:5" ht="15">
      <c r="A585" s="197"/>
      <c r="E585" s="196"/>
    </row>
    <row r="586" spans="1:5" ht="15">
      <c r="A586" s="197"/>
      <c r="E586" s="196"/>
    </row>
    <row r="587" spans="1:5" ht="15">
      <c r="A587" s="197"/>
      <c r="E587" s="196"/>
    </row>
    <row r="588" spans="1:5" ht="15">
      <c r="A588" s="197"/>
      <c r="E588" s="196"/>
    </row>
    <row r="589" spans="1:5" ht="15">
      <c r="A589" s="197"/>
      <c r="E589" s="196"/>
    </row>
    <row r="590" spans="1:5" ht="15">
      <c r="A590" s="197"/>
      <c r="E590" s="196"/>
    </row>
    <row r="591" spans="1:5" ht="15">
      <c r="A591" s="197"/>
      <c r="E591" s="196"/>
    </row>
    <row r="592" spans="1:5" ht="15">
      <c r="A592" s="197"/>
      <c r="E592" s="196"/>
    </row>
    <row r="593" spans="1:5" ht="15">
      <c r="A593" s="197"/>
      <c r="E593" s="196"/>
    </row>
    <row r="594" spans="1:5" ht="15">
      <c r="A594" s="197"/>
      <c r="E594" s="196"/>
    </row>
    <row r="595" spans="1:5" ht="15">
      <c r="A595" s="197"/>
      <c r="E595" s="196"/>
    </row>
    <row r="596" spans="1:5" ht="15">
      <c r="A596" s="197"/>
      <c r="E596" s="196"/>
    </row>
    <row r="597" spans="1:5" ht="15">
      <c r="A597" s="197"/>
      <c r="E597" s="196"/>
    </row>
    <row r="598" spans="1:5" ht="15">
      <c r="A598" s="197"/>
      <c r="E598" s="196"/>
    </row>
    <row r="599" spans="1:5" ht="15">
      <c r="A599" s="197"/>
      <c r="E599" s="196"/>
    </row>
    <row r="600" spans="1:5" ht="15">
      <c r="A600" s="197"/>
      <c r="E600" s="196"/>
    </row>
    <row r="601" spans="1:5" ht="15">
      <c r="A601" s="197"/>
      <c r="E601" s="196"/>
    </row>
    <row r="602" spans="1:5" ht="15">
      <c r="A602" s="197"/>
      <c r="E602" s="196"/>
    </row>
    <row r="603" spans="1:5" ht="15">
      <c r="A603" s="197"/>
      <c r="E603" s="196"/>
    </row>
    <row r="604" spans="1:5" ht="15">
      <c r="A604" s="197"/>
      <c r="E604" s="196"/>
    </row>
    <row r="605" spans="1:5" ht="15">
      <c r="A605" s="197"/>
      <c r="E605" s="196"/>
    </row>
    <row r="606" spans="1:5" ht="15">
      <c r="A606" s="197"/>
      <c r="E606" s="196"/>
    </row>
    <row r="607" spans="1:5" ht="15">
      <c r="A607" s="197"/>
      <c r="E607" s="196"/>
    </row>
    <row r="608" spans="1:5" ht="15">
      <c r="A608" s="197"/>
      <c r="E608" s="196"/>
    </row>
    <row r="609" spans="1:5" ht="15">
      <c r="A609" s="197"/>
      <c r="E609" s="196"/>
    </row>
    <row r="610" spans="1:5" ht="15">
      <c r="A610" s="197"/>
      <c r="E610" s="196"/>
    </row>
    <row r="611" spans="1:5" ht="15">
      <c r="A611" s="197"/>
      <c r="E611" s="196"/>
    </row>
    <row r="612" spans="1:5" ht="15">
      <c r="A612" s="197"/>
      <c r="E612" s="196"/>
    </row>
    <row r="613" spans="1:5" ht="15">
      <c r="A613" s="197"/>
      <c r="E613" s="196"/>
    </row>
    <row r="614" spans="1:5" ht="15">
      <c r="A614" s="197"/>
      <c r="E614" s="196"/>
    </row>
    <row r="615" spans="1:5" ht="15">
      <c r="A615" s="197"/>
      <c r="E615" s="196"/>
    </row>
    <row r="616" spans="1:5" ht="15">
      <c r="A616" s="197"/>
      <c r="E616" s="196"/>
    </row>
    <row r="617" spans="1:5" ht="15">
      <c r="A617" s="197"/>
      <c r="E617" s="196"/>
    </row>
    <row r="618" spans="1:5" ht="15">
      <c r="A618" s="197"/>
      <c r="E618" s="196"/>
    </row>
    <row r="619" spans="1:5" ht="15">
      <c r="A619" s="197"/>
      <c r="E619" s="196"/>
    </row>
    <row r="620" spans="1:5" ht="15">
      <c r="A620" s="197"/>
      <c r="E620" s="196"/>
    </row>
    <row r="621" spans="1:5" ht="15">
      <c r="A621" s="197"/>
      <c r="E621" s="196"/>
    </row>
    <row r="622" spans="1:5" ht="15">
      <c r="A622" s="197"/>
      <c r="E622" s="196"/>
    </row>
    <row r="623" spans="1:5" ht="15">
      <c r="A623" s="197"/>
      <c r="E623" s="196"/>
    </row>
    <row r="624" spans="1:5" ht="15">
      <c r="A624" s="197"/>
      <c r="E624" s="196"/>
    </row>
    <row r="625" spans="1:5" ht="15">
      <c r="A625" s="197"/>
      <c r="E625" s="196"/>
    </row>
    <row r="626" spans="1:5" ht="15">
      <c r="A626" s="197"/>
      <c r="E626" s="196"/>
    </row>
    <row r="627" spans="1:5" ht="15">
      <c r="A627" s="197"/>
      <c r="E627" s="196"/>
    </row>
    <row r="628" spans="1:5" ht="15">
      <c r="A628" s="197"/>
      <c r="E628" s="196"/>
    </row>
    <row r="629" spans="1:5" ht="15">
      <c r="A629" s="197"/>
      <c r="E629" s="196"/>
    </row>
    <row r="630" spans="1:5" ht="15">
      <c r="A630" s="197"/>
      <c r="E630" s="196"/>
    </row>
    <row r="631" spans="1:5" ht="15">
      <c r="A631" s="197"/>
      <c r="E631" s="196"/>
    </row>
    <row r="632" spans="1:5" ht="15">
      <c r="A632" s="197"/>
      <c r="E632" s="196"/>
    </row>
    <row r="633" spans="1:5" ht="15">
      <c r="A633" s="197"/>
      <c r="E633" s="196"/>
    </row>
    <row r="634" spans="1:5" ht="15">
      <c r="A634" s="197"/>
      <c r="E634" s="196"/>
    </row>
    <row r="635" spans="1:5" ht="15">
      <c r="A635" s="197"/>
      <c r="E635" s="196"/>
    </row>
    <row r="636" spans="1:5" ht="15">
      <c r="A636" s="197"/>
      <c r="E636" s="196"/>
    </row>
    <row r="637" spans="1:5" ht="15">
      <c r="A637" s="197"/>
      <c r="E637" s="196"/>
    </row>
    <row r="638" spans="1:5" ht="15">
      <c r="A638" s="197"/>
      <c r="E638" s="196"/>
    </row>
    <row r="639" spans="1:5" ht="15">
      <c r="A639" s="197"/>
      <c r="E639" s="196"/>
    </row>
    <row r="640" spans="1:5" ht="15">
      <c r="A640" s="197"/>
      <c r="E640" s="196"/>
    </row>
    <row r="641" spans="1:5" ht="15">
      <c r="A641" s="197"/>
      <c r="E641" s="196"/>
    </row>
    <row r="642" spans="1:5" ht="15">
      <c r="A642" s="197"/>
      <c r="E642" s="196"/>
    </row>
    <row r="643" spans="1:5" ht="15">
      <c r="A643" s="197"/>
      <c r="E643" s="196"/>
    </row>
    <row r="644" spans="1:5" ht="15">
      <c r="A644" s="197"/>
      <c r="E644" s="196"/>
    </row>
    <row r="645" spans="1:5" ht="15">
      <c r="A645" s="197"/>
      <c r="E645" s="196"/>
    </row>
    <row r="646" spans="1:5" ht="15">
      <c r="A646" s="197"/>
      <c r="E646" s="196"/>
    </row>
    <row r="647" spans="1:5" ht="15">
      <c r="A647" s="197"/>
      <c r="E647" s="196"/>
    </row>
    <row r="648" spans="1:5" ht="15">
      <c r="A648" s="197"/>
      <c r="E648" s="196"/>
    </row>
    <row r="649" spans="1:5" ht="15">
      <c r="A649" s="197"/>
      <c r="E649" s="196"/>
    </row>
    <row r="650" spans="1:5" ht="15">
      <c r="A650" s="197"/>
      <c r="E650" s="196"/>
    </row>
    <row r="651" spans="1:5" ht="15">
      <c r="A651" s="197"/>
      <c r="E651" s="196"/>
    </row>
    <row r="652" spans="1:5" ht="15">
      <c r="A652" s="197"/>
      <c r="E652" s="196"/>
    </row>
    <row r="653" spans="1:5" ht="15">
      <c r="A653" s="197"/>
      <c r="E653" s="196"/>
    </row>
    <row r="654" spans="1:5" ht="15">
      <c r="A654" s="197"/>
      <c r="E654" s="196"/>
    </row>
    <row r="655" spans="1:5" ht="15">
      <c r="A655" s="197"/>
      <c r="E655" s="196"/>
    </row>
    <row r="656" spans="1:5" ht="15">
      <c r="A656" s="197"/>
      <c r="E656" s="196"/>
    </row>
    <row r="657" spans="1:5" ht="15">
      <c r="A657" s="197"/>
      <c r="E657" s="196"/>
    </row>
    <row r="658" spans="1:5" ht="15">
      <c r="A658" s="197"/>
      <c r="E658" s="196"/>
    </row>
    <row r="659" spans="1:5" ht="15">
      <c r="A659" s="197"/>
      <c r="E659" s="196"/>
    </row>
    <row r="660" spans="1:5" ht="15">
      <c r="A660" s="197"/>
      <c r="E660" s="196"/>
    </row>
    <row r="661" spans="1:5" ht="15">
      <c r="A661" s="197"/>
      <c r="E661" s="196"/>
    </row>
    <row r="662" spans="1:5" ht="15">
      <c r="A662" s="197"/>
      <c r="E662" s="196"/>
    </row>
    <row r="663" spans="1:5" ht="15">
      <c r="A663" s="197"/>
      <c r="E663" s="196"/>
    </row>
    <row r="664" spans="1:5" ht="15">
      <c r="A664" s="197"/>
      <c r="E664" s="196"/>
    </row>
    <row r="665" spans="1:5" ht="15">
      <c r="A665" s="197"/>
      <c r="E665" s="196"/>
    </row>
    <row r="666" spans="1:5" ht="15">
      <c r="A666" s="197"/>
      <c r="E666" s="196"/>
    </row>
    <row r="667" spans="1:5" ht="15">
      <c r="A667" s="197"/>
      <c r="E667" s="196"/>
    </row>
    <row r="668" spans="1:5" ht="15">
      <c r="A668" s="197"/>
      <c r="E668" s="196"/>
    </row>
    <row r="669" spans="1:5" ht="15">
      <c r="A669" s="197"/>
      <c r="E669" s="196"/>
    </row>
    <row r="670" spans="1:5" ht="15">
      <c r="A670" s="197"/>
      <c r="E670" s="196"/>
    </row>
    <row r="671" spans="1:5" ht="15">
      <c r="A671" s="197"/>
      <c r="E671" s="196"/>
    </row>
    <row r="672" spans="1:5" ht="15">
      <c r="A672" s="197"/>
      <c r="E672" s="196"/>
    </row>
    <row r="673" spans="1:5" ht="15">
      <c r="A673" s="197"/>
      <c r="E673" s="196"/>
    </row>
    <row r="674" spans="1:5" ht="15">
      <c r="A674" s="197"/>
      <c r="E674" s="196"/>
    </row>
    <row r="675" spans="1:5" ht="15">
      <c r="A675" s="197"/>
      <c r="E675" s="196"/>
    </row>
    <row r="676" spans="1:5" ht="15">
      <c r="A676" s="197"/>
      <c r="E676" s="196"/>
    </row>
    <row r="677" spans="1:5" ht="15">
      <c r="A677" s="197"/>
      <c r="E677" s="196"/>
    </row>
    <row r="678" spans="1:5" ht="15">
      <c r="A678" s="197"/>
      <c r="E678" s="196"/>
    </row>
    <row r="679" spans="1:5" ht="15">
      <c r="A679" s="197"/>
      <c r="E679" s="196"/>
    </row>
    <row r="680" spans="1:5" ht="15">
      <c r="A680" s="197"/>
      <c r="E680" s="196"/>
    </row>
    <row r="681" spans="1:5" ht="15">
      <c r="A681" s="197"/>
      <c r="E681" s="196"/>
    </row>
    <row r="682" spans="1:5" ht="15">
      <c r="A682" s="197"/>
      <c r="E682" s="196"/>
    </row>
    <row r="683" spans="1:5" ht="15">
      <c r="A683" s="197"/>
      <c r="E683" s="196"/>
    </row>
    <row r="684" spans="1:5" ht="15">
      <c r="A684" s="197"/>
      <c r="E684" s="196"/>
    </row>
    <row r="685" spans="1:5" ht="15">
      <c r="A685" s="197"/>
      <c r="E685" s="196"/>
    </row>
    <row r="686" spans="1:5" ht="15">
      <c r="A686" s="197"/>
      <c r="E686" s="196"/>
    </row>
    <row r="687" spans="1:5" ht="15">
      <c r="A687" s="197"/>
      <c r="E687" s="196"/>
    </row>
    <row r="688" spans="1:5" ht="15">
      <c r="A688" s="197"/>
      <c r="E688" s="196"/>
    </row>
    <row r="689" spans="1:5" ht="15">
      <c r="A689" s="197"/>
      <c r="E689" s="196"/>
    </row>
    <row r="690" spans="1:5" ht="15">
      <c r="A690" s="197"/>
      <c r="E690" s="196"/>
    </row>
    <row r="691" spans="1:5" ht="15">
      <c r="A691" s="197"/>
      <c r="E691" s="196"/>
    </row>
    <row r="692" spans="1:5" ht="15">
      <c r="A692" s="197"/>
      <c r="E692" s="196"/>
    </row>
    <row r="693" spans="1:5" ht="15">
      <c r="A693" s="197"/>
      <c r="E693" s="196"/>
    </row>
    <row r="694" spans="1:5" ht="15">
      <c r="A694" s="197"/>
      <c r="E694" s="196"/>
    </row>
    <row r="695" spans="1:5" ht="15">
      <c r="A695" s="197"/>
      <c r="E695" s="196"/>
    </row>
    <row r="696" spans="1:5" ht="15">
      <c r="A696" s="197"/>
      <c r="E696" s="196"/>
    </row>
    <row r="697" spans="1:5" ht="15">
      <c r="A697" s="197"/>
      <c r="E697" s="196"/>
    </row>
    <row r="698" spans="1:5" ht="15">
      <c r="A698" s="197"/>
      <c r="E698" s="196"/>
    </row>
    <row r="699" spans="1:5" ht="15">
      <c r="A699" s="197"/>
      <c r="E699" s="196"/>
    </row>
    <row r="700" spans="1:5" ht="15">
      <c r="A700" s="197"/>
      <c r="E700" s="196"/>
    </row>
    <row r="701" spans="1:5" ht="15">
      <c r="A701" s="197"/>
      <c r="E701" s="196"/>
    </row>
    <row r="702" spans="1:5" ht="15">
      <c r="A702" s="197"/>
      <c r="E702" s="196"/>
    </row>
    <row r="703" spans="1:5" ht="15">
      <c r="A703" s="197"/>
      <c r="E703" s="196"/>
    </row>
    <row r="704" spans="1:5" ht="15">
      <c r="A704" s="197"/>
      <c r="E704" s="196"/>
    </row>
    <row r="705" spans="1:5" ht="15">
      <c r="A705" s="197"/>
      <c r="E705" s="196"/>
    </row>
    <row r="706" spans="1:5" ht="15">
      <c r="A706" s="197"/>
      <c r="E706" s="196"/>
    </row>
    <row r="707" spans="1:5" ht="15">
      <c r="A707" s="197"/>
      <c r="E707" s="196"/>
    </row>
    <row r="708" spans="1:5" ht="15">
      <c r="A708" s="197"/>
      <c r="E708" s="196"/>
    </row>
    <row r="709" spans="1:5" ht="15">
      <c r="A709" s="197"/>
      <c r="E709" s="196"/>
    </row>
    <row r="710" spans="1:5" ht="15">
      <c r="A710" s="197"/>
      <c r="E710" s="196"/>
    </row>
    <row r="711" spans="1:5" ht="15">
      <c r="A711" s="197"/>
      <c r="E711" s="196"/>
    </row>
    <row r="712" spans="1:5" ht="15">
      <c r="A712" s="197"/>
      <c r="E712" s="196"/>
    </row>
    <row r="713" spans="1:5" ht="15">
      <c r="A713" s="197"/>
      <c r="E713" s="196"/>
    </row>
    <row r="714" spans="1:5" ht="15">
      <c r="A714" s="197"/>
      <c r="E714" s="196"/>
    </row>
    <row r="715" spans="1:5" ht="15">
      <c r="A715" s="197"/>
      <c r="E715" s="196"/>
    </row>
    <row r="716" spans="1:5" ht="15">
      <c r="A716" s="197"/>
      <c r="E716" s="196"/>
    </row>
    <row r="717" spans="1:5" ht="15">
      <c r="A717" s="197"/>
      <c r="E717" s="196"/>
    </row>
    <row r="718" spans="1:5" ht="15">
      <c r="A718" s="197"/>
      <c r="E718" s="196"/>
    </row>
    <row r="719" spans="1:5" ht="15">
      <c r="A719" s="197"/>
      <c r="E719" s="196"/>
    </row>
    <row r="720" spans="1:5" ht="15">
      <c r="A720" s="197"/>
      <c r="E720" s="196"/>
    </row>
    <row r="721" spans="1:5" ht="15">
      <c r="A721" s="197"/>
      <c r="E721" s="196"/>
    </row>
    <row r="722" spans="1:5" ht="15">
      <c r="A722" s="197"/>
      <c r="E722" s="196"/>
    </row>
    <row r="723" spans="1:5" ht="15">
      <c r="A723" s="197"/>
      <c r="E723" s="196"/>
    </row>
    <row r="724" spans="1:5" ht="15">
      <c r="A724" s="197"/>
      <c r="E724" s="196"/>
    </row>
    <row r="725" spans="1:5" ht="15">
      <c r="A725" s="197"/>
      <c r="E725" s="196"/>
    </row>
    <row r="726" spans="1:5" ht="15">
      <c r="A726" s="197"/>
      <c r="E726" s="196"/>
    </row>
    <row r="727" spans="1:5" ht="15">
      <c r="A727" s="197"/>
      <c r="E727" s="196"/>
    </row>
    <row r="728" spans="1:5" ht="15">
      <c r="A728" s="197"/>
      <c r="E728" s="196"/>
    </row>
    <row r="729" spans="1:5" ht="15">
      <c r="A729" s="197"/>
      <c r="E729" s="196"/>
    </row>
    <row r="730" spans="1:5" ht="15">
      <c r="A730" s="197"/>
      <c r="E730" s="196"/>
    </row>
    <row r="731" spans="1:5" ht="15">
      <c r="A731" s="197"/>
      <c r="E731" s="196"/>
    </row>
    <row r="732" spans="1:5" ht="15">
      <c r="A732" s="197"/>
      <c r="E732" s="196"/>
    </row>
    <row r="733" spans="1:5" ht="15">
      <c r="A733" s="197"/>
      <c r="E733" s="196"/>
    </row>
    <row r="734" spans="1:5" ht="15">
      <c r="A734" s="197"/>
      <c r="E734" s="196"/>
    </row>
    <row r="735" spans="1:5" ht="15">
      <c r="A735" s="197"/>
      <c r="E735" s="196"/>
    </row>
    <row r="736" spans="1:5" ht="15">
      <c r="A736" s="197"/>
      <c r="E736" s="196"/>
    </row>
    <row r="737" spans="1:5" ht="15">
      <c r="A737" s="197"/>
      <c r="E737" s="196"/>
    </row>
    <row r="738" spans="1:5" ht="15">
      <c r="A738" s="197"/>
      <c r="E738" s="196"/>
    </row>
    <row r="739" spans="1:5" ht="15">
      <c r="A739" s="197"/>
      <c r="E739" s="196"/>
    </row>
    <row r="740" spans="1:5" ht="15">
      <c r="A740" s="197"/>
      <c r="E740" s="196"/>
    </row>
    <row r="741" spans="1:5" ht="15">
      <c r="A741" s="197"/>
      <c r="E741" s="196"/>
    </row>
    <row r="742" spans="1:5" ht="15">
      <c r="A742" s="197"/>
      <c r="E742" s="196"/>
    </row>
    <row r="743" spans="1:5" ht="15">
      <c r="A743" s="197"/>
      <c r="E743" s="196"/>
    </row>
    <row r="744" spans="1:5" ht="15">
      <c r="A744" s="197"/>
      <c r="E744" s="196"/>
    </row>
    <row r="745" spans="1:5" ht="15">
      <c r="A745" s="197"/>
      <c r="E745" s="196"/>
    </row>
    <row r="746" spans="1:5" ht="15">
      <c r="A746" s="197"/>
      <c r="E746" s="196"/>
    </row>
    <row r="747" spans="1:5" ht="15">
      <c r="A747" s="197"/>
      <c r="E747" s="196"/>
    </row>
    <row r="748" spans="1:5" ht="15">
      <c r="A748" s="197"/>
      <c r="E748" s="196"/>
    </row>
    <row r="749" spans="1:5" ht="15">
      <c r="A749" s="197"/>
      <c r="E749" s="196"/>
    </row>
    <row r="750" spans="1:5" ht="15">
      <c r="A750" s="197"/>
      <c r="E750" s="196"/>
    </row>
    <row r="751" spans="1:5" ht="15">
      <c r="A751" s="197"/>
      <c r="E751" s="196"/>
    </row>
    <row r="752" spans="1:5" ht="15">
      <c r="A752" s="197"/>
      <c r="E752" s="196"/>
    </row>
    <row r="753" spans="1:14" ht="15">
      <c r="A753" s="197"/>
      <c r="E753" s="196"/>
    </row>
    <row r="754" spans="1:14" ht="15">
      <c r="A754" s="197"/>
      <c r="E754" s="196"/>
    </row>
    <row r="755" spans="1:14" ht="15">
      <c r="A755" s="197"/>
      <c r="E755" s="196"/>
    </row>
    <row r="756" spans="1:14" ht="15">
      <c r="A756" s="197"/>
      <c r="E756" s="196"/>
    </row>
    <row r="757" spans="1:14" ht="15">
      <c r="A757" s="197"/>
      <c r="E757" s="196"/>
    </row>
    <row r="758" spans="1:14" ht="15">
      <c r="A758" s="197"/>
      <c r="E758" s="196"/>
    </row>
    <row r="759" spans="1:14" ht="15">
      <c r="A759" s="197"/>
      <c r="E759" s="196"/>
    </row>
    <row r="760" spans="1:14" ht="15">
      <c r="A760" s="197"/>
      <c r="E760" s="196"/>
    </row>
    <row r="761" spans="1:14" ht="15">
      <c r="A761" s="197"/>
      <c r="E761" s="196"/>
    </row>
    <row r="762" spans="1:14" ht="15">
      <c r="A762" s="197"/>
      <c r="E762" s="196"/>
      <c r="H762" s="196"/>
      <c r="J762" s="196"/>
      <c r="K762" s="196"/>
      <c r="L762" s="196"/>
      <c r="M762" s="196"/>
    </row>
    <row r="763" spans="1:14" ht="15">
      <c r="A763" s="197"/>
      <c r="H763" s="197"/>
      <c r="J763" s="197"/>
      <c r="K763" s="197"/>
      <c r="L763" s="197"/>
      <c r="M763" s="197"/>
      <c r="N763" s="196"/>
    </row>
    <row r="764" spans="1:14" ht="15">
      <c r="A764" s="197"/>
      <c r="G764" s="196"/>
      <c r="N764" s="197"/>
    </row>
    <row r="765" spans="1:14" ht="15">
      <c r="A765" s="197"/>
      <c r="G765" s="197"/>
    </row>
    <row r="766" spans="1:14" ht="15">
      <c r="A766" s="197"/>
      <c r="E766" s="196"/>
    </row>
    <row r="767" spans="1:14" ht="15">
      <c r="A767" s="197"/>
      <c r="E767" s="196"/>
    </row>
    <row r="768" spans="1:14" ht="15">
      <c r="A768" s="197"/>
      <c r="E768" s="196"/>
    </row>
    <row r="769" spans="1:9" ht="15">
      <c r="A769" s="197"/>
      <c r="E769" s="196"/>
    </row>
    <row r="770" spans="1:9" ht="15">
      <c r="A770" s="197"/>
      <c r="E770" s="196"/>
    </row>
    <row r="771" spans="1:9" ht="15">
      <c r="A771" s="197"/>
      <c r="E771" s="196"/>
    </row>
    <row r="772" spans="1:9" ht="15">
      <c r="A772" s="197"/>
      <c r="E772" s="196"/>
    </row>
    <row r="773" spans="1:9" ht="15">
      <c r="A773" s="197"/>
      <c r="E773" s="196"/>
      <c r="I773" s="196"/>
    </row>
    <row r="774" spans="1:9" ht="15">
      <c r="A774" s="197"/>
      <c r="E774" s="196"/>
      <c r="I774" s="197"/>
    </row>
    <row r="775" spans="1:9" ht="15">
      <c r="A775" s="197"/>
      <c r="E775" s="196"/>
    </row>
    <row r="776" spans="1:9" ht="15">
      <c r="A776" s="197"/>
      <c r="E776" s="196"/>
    </row>
    <row r="777" spans="1:9" ht="15">
      <c r="A777" s="197"/>
      <c r="E777" s="196"/>
    </row>
    <row r="778" spans="1:9" ht="15">
      <c r="A778" s="197"/>
      <c r="E778" s="196"/>
    </row>
    <row r="779" spans="1:9" ht="15">
      <c r="A779" s="197"/>
      <c r="E779" s="196"/>
    </row>
    <row r="780" spans="1:9" ht="15">
      <c r="A780" s="197"/>
      <c r="E780" s="196"/>
    </row>
    <row r="781" spans="1:9" ht="15">
      <c r="A781" s="197"/>
      <c r="E781" s="196"/>
    </row>
    <row r="782" spans="1:9" ht="15">
      <c r="A782" s="197"/>
      <c r="E782" s="196"/>
    </row>
    <row r="783" spans="1:9" ht="15">
      <c r="A783" s="197"/>
      <c r="E783" s="196"/>
    </row>
    <row r="784" spans="1:9" ht="15">
      <c r="A784" s="197"/>
      <c r="E784" s="196"/>
    </row>
    <row r="785" spans="1:5" ht="15">
      <c r="A785" s="197"/>
      <c r="E785" s="196"/>
    </row>
    <row r="786" spans="1:5" ht="15">
      <c r="A786" s="197"/>
      <c r="E786" s="196"/>
    </row>
    <row r="787" spans="1:5" ht="15">
      <c r="A787" s="197"/>
      <c r="E787" s="196"/>
    </row>
    <row r="788" spans="1:5" ht="15">
      <c r="A788" s="197"/>
      <c r="E788" s="196"/>
    </row>
    <row r="789" spans="1:5" ht="15">
      <c r="A789" s="197"/>
      <c r="E789" s="196"/>
    </row>
    <row r="790" spans="1:5" ht="15">
      <c r="A790" s="197"/>
      <c r="E790" s="196"/>
    </row>
    <row r="791" spans="1:5" ht="15">
      <c r="A791" s="197"/>
      <c r="E791" s="196"/>
    </row>
    <row r="792" spans="1:5" ht="15">
      <c r="A792" s="197"/>
      <c r="E792" s="196"/>
    </row>
    <row r="793" spans="1:5" ht="15">
      <c r="A793" s="197"/>
      <c r="E793" s="196"/>
    </row>
    <row r="794" spans="1:5" ht="15">
      <c r="A794" s="197"/>
      <c r="E794" s="196"/>
    </row>
    <row r="795" spans="1:5" ht="15">
      <c r="A795" s="197"/>
      <c r="E795" s="196"/>
    </row>
    <row r="796" spans="1:5" ht="15">
      <c r="A796" s="197"/>
      <c r="E796" s="196"/>
    </row>
    <row r="797" spans="1:5" ht="15">
      <c r="A797" s="197"/>
      <c r="E797" s="196"/>
    </row>
    <row r="798" spans="1:5" ht="15">
      <c r="A798" s="197"/>
      <c r="E798" s="196"/>
    </row>
    <row r="799" spans="1:5" ht="15">
      <c r="A799" s="197"/>
      <c r="E799" s="196"/>
    </row>
    <row r="800" spans="1:5" ht="15">
      <c r="A800" s="197"/>
      <c r="E800" s="196"/>
    </row>
    <row r="801" spans="1:5" ht="15">
      <c r="A801" s="197"/>
      <c r="E801" s="196"/>
    </row>
    <row r="802" spans="1:5" ht="15">
      <c r="A802" s="197"/>
      <c r="E802" s="196"/>
    </row>
    <row r="803" spans="1:5" ht="15">
      <c r="A803" s="197"/>
      <c r="E803" s="196"/>
    </row>
    <row r="804" spans="1:5" ht="15">
      <c r="A804" s="197"/>
      <c r="E804" s="196"/>
    </row>
    <row r="805" spans="1:5" ht="15">
      <c r="A805" s="197"/>
      <c r="E805" s="196"/>
    </row>
    <row r="806" spans="1:5" ht="15">
      <c r="A806" s="197"/>
      <c r="E806" s="196"/>
    </row>
    <row r="807" spans="1:5" ht="15">
      <c r="A807" s="197"/>
      <c r="E807" s="196"/>
    </row>
    <row r="808" spans="1:5" ht="15">
      <c r="A808" s="197"/>
      <c r="E808" s="196"/>
    </row>
    <row r="809" spans="1:5" ht="15">
      <c r="A809" s="197"/>
      <c r="E809" s="196"/>
    </row>
    <row r="810" spans="1:5" ht="15">
      <c r="A810" s="197"/>
      <c r="E810" s="196"/>
    </row>
    <row r="811" spans="1:5" ht="15">
      <c r="A811" s="197"/>
      <c r="E811" s="196"/>
    </row>
    <row r="812" spans="1:5" ht="15">
      <c r="A812" s="197"/>
      <c r="E812" s="196"/>
    </row>
    <row r="813" spans="1:5" ht="15">
      <c r="A813" s="197"/>
      <c r="E813" s="196"/>
    </row>
    <row r="814" spans="1:5" ht="15">
      <c r="A814" s="197"/>
      <c r="E814" s="196"/>
    </row>
    <row r="815" spans="1:5" ht="15">
      <c r="A815" s="197"/>
      <c r="E815" s="196"/>
    </row>
    <row r="816" spans="1:5" ht="15">
      <c r="A816" s="197"/>
      <c r="E816" s="196"/>
    </row>
    <row r="817" spans="1:5" ht="15">
      <c r="A817" s="197"/>
      <c r="E817" s="196"/>
    </row>
    <row r="818" spans="1:5" ht="15">
      <c r="A818" s="197"/>
      <c r="E818" s="196"/>
    </row>
    <row r="819" spans="1:5" ht="15">
      <c r="A819" s="197"/>
      <c r="E819" s="196"/>
    </row>
    <row r="820" spans="1:5" ht="15">
      <c r="A820" s="197"/>
      <c r="E820" s="196"/>
    </row>
    <row r="821" spans="1:5" ht="15">
      <c r="A821" s="197"/>
      <c r="E821" s="196"/>
    </row>
    <row r="822" spans="1:5" ht="15">
      <c r="A822" s="197"/>
      <c r="E822" s="196"/>
    </row>
    <row r="823" spans="1:5" ht="15">
      <c r="A823" s="197"/>
      <c r="E823" s="196"/>
    </row>
    <row r="824" spans="1:5" ht="15">
      <c r="A824" s="197"/>
      <c r="E824" s="196"/>
    </row>
    <row r="825" spans="1:5" ht="15">
      <c r="A825" s="197"/>
      <c r="E825" s="196"/>
    </row>
    <row r="826" spans="1:5" ht="15">
      <c r="A826" s="197"/>
      <c r="E826" s="196"/>
    </row>
    <row r="827" spans="1:5" ht="15">
      <c r="A827" s="197"/>
      <c r="E827" s="196"/>
    </row>
    <row r="828" spans="1:5" ht="15">
      <c r="A828" s="197"/>
      <c r="E828" s="196"/>
    </row>
    <row r="829" spans="1:5" ht="15">
      <c r="A829" s="197"/>
      <c r="E829" s="196"/>
    </row>
    <row r="830" spans="1:5" ht="15">
      <c r="A830" s="197"/>
      <c r="E830" s="196"/>
    </row>
    <row r="831" spans="1:5" ht="15">
      <c r="A831" s="197"/>
      <c r="E831" s="196"/>
    </row>
    <row r="832" spans="1:5" ht="15">
      <c r="A832" s="197"/>
      <c r="E832" s="196"/>
    </row>
    <row r="833" spans="1:5" ht="15">
      <c r="A833" s="197"/>
      <c r="E833" s="196"/>
    </row>
    <row r="834" spans="1:5" ht="15">
      <c r="A834" s="197"/>
      <c r="E834" s="196"/>
    </row>
    <row r="835" spans="1:5" ht="15">
      <c r="A835" s="197"/>
      <c r="E835" s="196"/>
    </row>
    <row r="836" spans="1:5" ht="15">
      <c r="A836" s="197"/>
      <c r="E836" s="196"/>
    </row>
    <row r="837" spans="1:5" ht="15">
      <c r="A837" s="197"/>
      <c r="E837" s="196"/>
    </row>
    <row r="838" spans="1:5" ht="15">
      <c r="A838" s="197"/>
      <c r="E838" s="196"/>
    </row>
    <row r="839" spans="1:5" ht="15">
      <c r="A839" s="197"/>
      <c r="E839" s="196"/>
    </row>
    <row r="840" spans="1:5" ht="15">
      <c r="A840" s="197"/>
      <c r="E840" s="196"/>
    </row>
    <row r="841" spans="1:5" ht="15">
      <c r="A841" s="197"/>
      <c r="E841" s="196"/>
    </row>
    <row r="842" spans="1:5" ht="15">
      <c r="A842" s="197"/>
      <c r="E842" s="196"/>
    </row>
    <row r="843" spans="1:5" ht="15">
      <c r="A843" s="197"/>
      <c r="E843" s="196"/>
    </row>
    <row r="844" spans="1:5" ht="15">
      <c r="A844" s="197"/>
      <c r="E844" s="196"/>
    </row>
    <row r="845" spans="1:5" ht="15">
      <c r="A845" s="197"/>
      <c r="E845" s="196"/>
    </row>
    <row r="846" spans="1:5" ht="15">
      <c r="A846" s="197"/>
      <c r="E846" s="196"/>
    </row>
    <row r="847" spans="1:5" ht="15">
      <c r="A847" s="197"/>
      <c r="E847" s="196"/>
    </row>
    <row r="848" spans="1:5" ht="15">
      <c r="A848" s="197"/>
      <c r="E848" s="196"/>
    </row>
    <row r="849" spans="1:5" ht="15">
      <c r="A849" s="197"/>
      <c r="E849" s="196"/>
    </row>
    <row r="850" spans="1:5" ht="15">
      <c r="A850" s="197"/>
      <c r="E850" s="196"/>
    </row>
    <row r="851" spans="1:5" ht="15">
      <c r="A851" s="197"/>
      <c r="E851" s="196"/>
    </row>
    <row r="852" spans="1:5" ht="15">
      <c r="A852" s="197"/>
      <c r="E852" s="196"/>
    </row>
    <row r="853" spans="1:5" ht="15">
      <c r="A853" s="197"/>
      <c r="E853" s="196"/>
    </row>
    <row r="854" spans="1:5" ht="15">
      <c r="A854" s="197"/>
      <c r="E854" s="196"/>
    </row>
    <row r="855" spans="1:5" ht="15">
      <c r="A855" s="197"/>
      <c r="E855" s="196"/>
    </row>
    <row r="856" spans="1:5" ht="15">
      <c r="A856" s="197"/>
      <c r="E856" s="196"/>
    </row>
    <row r="857" spans="1:5" ht="15">
      <c r="A857" s="197"/>
      <c r="E857" s="196"/>
    </row>
    <row r="858" spans="1:5" ht="15">
      <c r="A858" s="197"/>
      <c r="E858" s="196"/>
    </row>
    <row r="859" spans="1:5" ht="15">
      <c r="A859" s="197"/>
      <c r="E859" s="196"/>
    </row>
    <row r="860" spans="1:5" ht="15">
      <c r="A860" s="197"/>
      <c r="E860" s="196"/>
    </row>
    <row r="861" spans="1:5" ht="15">
      <c r="A861" s="197"/>
      <c r="E861" s="196"/>
    </row>
    <row r="862" spans="1:5" ht="15">
      <c r="A862" s="197"/>
      <c r="E862" s="196"/>
    </row>
    <row r="863" spans="1:5" ht="15">
      <c r="A863" s="197"/>
      <c r="E863" s="196"/>
    </row>
    <row r="864" spans="1:5" ht="15">
      <c r="A864" s="197"/>
      <c r="E864" s="196"/>
    </row>
    <row r="865" spans="1:5" ht="15">
      <c r="A865" s="197"/>
      <c r="E865" s="196"/>
    </row>
    <row r="866" spans="1:5" ht="15">
      <c r="A866" s="197"/>
      <c r="E866" s="196"/>
    </row>
    <row r="867" spans="1:5" ht="15">
      <c r="A867" s="197"/>
      <c r="E867" s="196"/>
    </row>
    <row r="868" spans="1:5" ht="15">
      <c r="A868" s="197"/>
      <c r="E868" s="196"/>
    </row>
    <row r="869" spans="1:5" ht="15">
      <c r="A869" s="197"/>
      <c r="E869" s="196"/>
    </row>
    <row r="870" spans="1:5" ht="15">
      <c r="A870" s="197"/>
      <c r="E870" s="196"/>
    </row>
    <row r="871" spans="1:5" ht="15">
      <c r="A871" s="197"/>
      <c r="E871" s="196"/>
    </row>
    <row r="872" spans="1:5" ht="15">
      <c r="A872" s="197"/>
      <c r="E872" s="196"/>
    </row>
    <row r="873" spans="1:5" ht="15">
      <c r="A873" s="197"/>
      <c r="E873" s="196"/>
    </row>
    <row r="874" spans="1:5" ht="15">
      <c r="A874" s="197"/>
      <c r="E874" s="196"/>
    </row>
    <row r="875" spans="1:5" ht="15">
      <c r="A875" s="197"/>
      <c r="E875" s="196"/>
    </row>
    <row r="876" spans="1:5" ht="15">
      <c r="A876" s="197"/>
      <c r="E876" s="196"/>
    </row>
    <row r="877" spans="1:5" ht="15">
      <c r="A877" s="197"/>
      <c r="E877" s="196"/>
    </row>
    <row r="878" spans="1:5" ht="15">
      <c r="A878" s="197"/>
      <c r="E878" s="196"/>
    </row>
    <row r="879" spans="1:5" ht="15">
      <c r="A879" s="197"/>
      <c r="E879" s="196"/>
    </row>
    <row r="880" spans="1:5" ht="15">
      <c r="A880" s="197"/>
      <c r="E880" s="196"/>
    </row>
    <row r="881" spans="1:5" ht="15">
      <c r="A881" s="197"/>
      <c r="E881" s="196"/>
    </row>
    <row r="882" spans="1:5" ht="15">
      <c r="A882" s="197"/>
      <c r="E882" s="196"/>
    </row>
    <row r="883" spans="1:5" ht="15">
      <c r="A883" s="197"/>
      <c r="E883" s="196"/>
    </row>
    <row r="884" spans="1:5" ht="15">
      <c r="A884" s="197"/>
      <c r="E884" s="196"/>
    </row>
    <row r="885" spans="1:5" ht="15">
      <c r="A885" s="197"/>
      <c r="E885" s="196"/>
    </row>
    <row r="886" spans="1:5" ht="15">
      <c r="A886" s="197"/>
      <c r="E886" s="196"/>
    </row>
    <row r="887" spans="1:5" ht="15">
      <c r="A887" s="197"/>
      <c r="E887" s="196"/>
    </row>
    <row r="888" spans="1:5" ht="15">
      <c r="A888" s="197"/>
      <c r="E888" s="196"/>
    </row>
    <row r="889" spans="1:5" ht="15">
      <c r="A889" s="197"/>
      <c r="E889" s="196"/>
    </row>
    <row r="890" spans="1:5" ht="15">
      <c r="A890" s="197"/>
      <c r="E890" s="196"/>
    </row>
    <row r="891" spans="1:5" ht="15">
      <c r="A891" s="197"/>
      <c r="E891" s="196"/>
    </row>
    <row r="892" spans="1:5" ht="15">
      <c r="A892" s="197"/>
      <c r="E892" s="196"/>
    </row>
    <row r="893" spans="1:5" ht="15">
      <c r="A893" s="197"/>
      <c r="E893" s="196"/>
    </row>
    <row r="894" spans="1:5" ht="15">
      <c r="A894" s="197"/>
      <c r="E894" s="196"/>
    </row>
    <row r="895" spans="1:5" ht="15">
      <c r="A895" s="197"/>
      <c r="E895" s="196"/>
    </row>
    <row r="896" spans="1:5" ht="15">
      <c r="A896" s="197"/>
      <c r="E896" s="196"/>
    </row>
    <row r="897" spans="1:5" ht="15">
      <c r="A897" s="197"/>
      <c r="E897" s="196"/>
    </row>
    <row r="898" spans="1:5" ht="15">
      <c r="A898" s="197"/>
      <c r="E898" s="196"/>
    </row>
    <row r="899" spans="1:5" ht="15">
      <c r="A899" s="197"/>
      <c r="E899" s="196"/>
    </row>
    <row r="900" spans="1:5" ht="15">
      <c r="A900" s="197"/>
      <c r="E900" s="196"/>
    </row>
    <row r="901" spans="1:5" ht="15">
      <c r="A901" s="197"/>
      <c r="E901" s="196"/>
    </row>
    <row r="902" spans="1:5" ht="15">
      <c r="A902" s="197"/>
      <c r="E902" s="196"/>
    </row>
    <row r="903" spans="1:5" ht="15">
      <c r="A903" s="197"/>
      <c r="E903" s="196"/>
    </row>
    <row r="904" spans="1:5" ht="15">
      <c r="A904" s="197"/>
      <c r="E904" s="196"/>
    </row>
    <row r="905" spans="1:5" ht="15">
      <c r="A905" s="197"/>
      <c r="E905" s="196"/>
    </row>
    <row r="906" spans="1:5" ht="15">
      <c r="A906" s="197"/>
      <c r="E906" s="196"/>
    </row>
    <row r="907" spans="1:5" ht="15">
      <c r="A907" s="197"/>
      <c r="E907" s="196"/>
    </row>
    <row r="908" spans="1:5" ht="15">
      <c r="A908" s="197"/>
      <c r="E908" s="196"/>
    </row>
    <row r="909" spans="1:5" ht="15">
      <c r="A909" s="197"/>
      <c r="E909" s="196"/>
    </row>
    <row r="910" spans="1:5" ht="15">
      <c r="A910" s="197"/>
      <c r="E910" s="196"/>
    </row>
    <row r="911" spans="1:5" ht="15">
      <c r="A911" s="197"/>
      <c r="E911" s="196"/>
    </row>
    <row r="912" spans="1:5" ht="15">
      <c r="A912" s="197"/>
      <c r="E912" s="196"/>
    </row>
    <row r="913" spans="1:5" ht="15">
      <c r="A913" s="197"/>
      <c r="E913" s="196"/>
    </row>
    <row r="914" spans="1:5" ht="15">
      <c r="A914" s="197"/>
      <c r="E914" s="196"/>
    </row>
    <row r="915" spans="1:5" ht="15">
      <c r="A915" s="197"/>
      <c r="E915" s="196"/>
    </row>
    <row r="916" spans="1:5" ht="15">
      <c r="A916" s="197"/>
      <c r="E916" s="196"/>
    </row>
    <row r="917" spans="1:5" ht="15">
      <c r="A917" s="197"/>
      <c r="E917" s="196"/>
    </row>
    <row r="918" spans="1:5" ht="15">
      <c r="A918" s="197"/>
      <c r="E918" s="196"/>
    </row>
    <row r="919" spans="1:5" ht="15">
      <c r="A919" s="197"/>
      <c r="E919" s="196"/>
    </row>
    <row r="920" spans="1:5" ht="15">
      <c r="A920" s="197"/>
      <c r="E920" s="196"/>
    </row>
    <row r="921" spans="1:5" ht="15">
      <c r="A921" s="197"/>
      <c r="E921" s="196"/>
    </row>
    <row r="922" spans="1:5" ht="15">
      <c r="A922" s="197"/>
      <c r="E922" s="196"/>
    </row>
    <row r="923" spans="1:5" ht="15">
      <c r="A923" s="197"/>
      <c r="E923" s="196"/>
    </row>
    <row r="924" spans="1:5" ht="15">
      <c r="A924" s="197"/>
      <c r="E924" s="196"/>
    </row>
    <row r="925" spans="1:5" ht="15">
      <c r="A925" s="197"/>
      <c r="E925" s="196"/>
    </row>
    <row r="926" spans="1:5" ht="15">
      <c r="A926" s="197"/>
      <c r="E926" s="196"/>
    </row>
    <row r="927" spans="1:5" ht="15">
      <c r="A927" s="197"/>
      <c r="E927" s="196"/>
    </row>
    <row r="928" spans="1:5" ht="15">
      <c r="A928" s="197"/>
      <c r="E928" s="196"/>
    </row>
    <row r="929" spans="1:5" ht="15">
      <c r="A929" s="197"/>
      <c r="E929" s="196"/>
    </row>
    <row r="930" spans="1:5" ht="15">
      <c r="A930" s="197"/>
      <c r="E930" s="196"/>
    </row>
    <row r="931" spans="1:5" ht="15">
      <c r="A931" s="197"/>
      <c r="E931" s="196"/>
    </row>
    <row r="932" spans="1:5" ht="15">
      <c r="A932" s="197"/>
      <c r="E932" s="196"/>
    </row>
    <row r="933" spans="1:5" ht="15">
      <c r="A933" s="197"/>
      <c r="E933" s="196"/>
    </row>
    <row r="934" spans="1:5" ht="15">
      <c r="A934" s="197"/>
      <c r="E934" s="196"/>
    </row>
    <row r="935" spans="1:5" ht="15">
      <c r="A935" s="197"/>
      <c r="E935" s="196"/>
    </row>
    <row r="936" spans="1:5" ht="15">
      <c r="A936" s="197"/>
      <c r="E936" s="196"/>
    </row>
    <row r="937" spans="1:5" ht="15">
      <c r="A937" s="197"/>
      <c r="E937" s="196"/>
    </row>
    <row r="938" spans="1:5" ht="15">
      <c r="A938" s="197"/>
      <c r="E938" s="196"/>
    </row>
    <row r="939" spans="1:5" ht="15">
      <c r="A939" s="197"/>
      <c r="E939" s="196"/>
    </row>
    <row r="940" spans="1:5" ht="15">
      <c r="A940" s="197"/>
      <c r="E940" s="196"/>
    </row>
    <row r="941" spans="1:5" ht="15">
      <c r="A941" s="197"/>
      <c r="E941" s="196"/>
    </row>
    <row r="942" spans="1:5" ht="15">
      <c r="A942" s="197"/>
      <c r="E942" s="196"/>
    </row>
    <row r="943" spans="1:5" ht="15">
      <c r="A943" s="197"/>
      <c r="E943" s="196"/>
    </row>
    <row r="944" spans="1:5" ht="15">
      <c r="A944" s="197"/>
      <c r="E944" s="196"/>
    </row>
    <row r="945" spans="1:5" ht="15">
      <c r="A945" s="197"/>
      <c r="E945" s="196"/>
    </row>
    <row r="946" spans="1:5" ht="15">
      <c r="A946" s="197"/>
      <c r="E946" s="196"/>
    </row>
    <row r="947" spans="1:5" ht="15">
      <c r="A947" s="197"/>
      <c r="E947" s="196"/>
    </row>
    <row r="948" spans="1:5" ht="15">
      <c r="A948" s="197"/>
      <c r="E948" s="196"/>
    </row>
    <row r="949" spans="1:5" ht="15">
      <c r="A949" s="197"/>
      <c r="E949" s="196"/>
    </row>
    <row r="950" spans="1:5" ht="15">
      <c r="A950" s="197"/>
      <c r="E950" s="196"/>
    </row>
    <row r="951" spans="1:5" ht="15">
      <c r="A951" s="197"/>
      <c r="E951" s="196"/>
    </row>
    <row r="952" spans="1:5" ht="15">
      <c r="A952" s="197"/>
      <c r="E952" s="196"/>
    </row>
    <row r="953" spans="1:5" ht="15">
      <c r="A953" s="197"/>
      <c r="E953" s="196"/>
    </row>
    <row r="954" spans="1:5" ht="15">
      <c r="A954" s="197"/>
      <c r="E954" s="196"/>
    </row>
    <row r="955" spans="1:5" ht="15">
      <c r="A955" s="197"/>
      <c r="E955" s="196"/>
    </row>
    <row r="956" spans="1:5" ht="15">
      <c r="A956" s="197"/>
      <c r="E956" s="196"/>
    </row>
    <row r="957" spans="1:5" ht="15">
      <c r="A957" s="197"/>
      <c r="E957" s="196"/>
    </row>
    <row r="958" spans="1:5" ht="15">
      <c r="A958" s="197"/>
      <c r="E958" s="196"/>
    </row>
    <row r="959" spans="1:5" ht="15">
      <c r="A959" s="197"/>
      <c r="E959" s="196"/>
    </row>
    <row r="960" spans="1:5" ht="15">
      <c r="A960" s="197"/>
      <c r="E960" s="196"/>
    </row>
    <row r="961" spans="1:5" ht="15">
      <c r="A961" s="197"/>
      <c r="E961" s="196"/>
    </row>
    <row r="962" spans="1:5" ht="15">
      <c r="A962" s="197"/>
      <c r="E962" s="196"/>
    </row>
    <row r="963" spans="1:5" ht="15">
      <c r="A963" s="197"/>
      <c r="E963" s="196"/>
    </row>
    <row r="964" spans="1:5" ht="15">
      <c r="A964" s="197"/>
      <c r="E964" s="196"/>
    </row>
    <row r="965" spans="1:5" ht="15">
      <c r="A965" s="197"/>
      <c r="E965" s="196"/>
    </row>
    <row r="966" spans="1:5" ht="15">
      <c r="A966" s="197"/>
      <c r="E966" s="196"/>
    </row>
    <row r="967" spans="1:5" ht="15">
      <c r="A967" s="197"/>
      <c r="E967" s="196"/>
    </row>
    <row r="968" spans="1:5" ht="15">
      <c r="A968" s="197"/>
      <c r="E968" s="196"/>
    </row>
    <row r="969" spans="1:5" ht="15">
      <c r="A969" s="197"/>
      <c r="E969" s="196"/>
    </row>
    <row r="970" spans="1:5" ht="15">
      <c r="A970" s="197"/>
      <c r="E970" s="196"/>
    </row>
    <row r="971" spans="1:5" ht="15">
      <c r="A971" s="197"/>
      <c r="E971" s="196"/>
    </row>
    <row r="972" spans="1:5" ht="15">
      <c r="A972" s="197"/>
      <c r="E972" s="196"/>
    </row>
    <row r="973" spans="1:5" ht="15">
      <c r="A973" s="197"/>
      <c r="E973" s="196"/>
    </row>
    <row r="974" spans="1:5" ht="15">
      <c r="A974" s="197"/>
      <c r="E974" s="196"/>
    </row>
    <row r="975" spans="1:5" ht="15">
      <c r="A975" s="197"/>
      <c r="E975" s="196"/>
    </row>
    <row r="976" spans="1:5" ht="15">
      <c r="A976" s="197"/>
      <c r="E976" s="196"/>
    </row>
    <row r="977" spans="1:5" ht="15">
      <c r="A977" s="197"/>
      <c r="E977" s="196"/>
    </row>
    <row r="978" spans="1:5" ht="15">
      <c r="A978" s="197"/>
      <c r="E978" s="196"/>
    </row>
    <row r="979" spans="1:5" ht="15">
      <c r="A979" s="197"/>
      <c r="E979" s="196"/>
    </row>
    <row r="980" spans="1:5" ht="15">
      <c r="A980" s="197"/>
      <c r="E980" s="196"/>
    </row>
    <row r="981" spans="1:5" ht="15">
      <c r="A981" s="197"/>
      <c r="E981" s="196"/>
    </row>
    <row r="982" spans="1:5" ht="15">
      <c r="A982" s="197"/>
      <c r="E982" s="196"/>
    </row>
    <row r="983" spans="1:5" ht="15">
      <c r="A983" s="197"/>
      <c r="E983" s="196"/>
    </row>
    <row r="984" spans="1:5" ht="15">
      <c r="A984" s="197"/>
      <c r="E984" s="196"/>
    </row>
    <row r="985" spans="1:5" ht="15">
      <c r="A985" s="197"/>
      <c r="E985" s="196"/>
    </row>
    <row r="986" spans="1:5" ht="15">
      <c r="A986" s="197"/>
      <c r="E986" s="196"/>
    </row>
    <row r="987" spans="1:5" ht="15">
      <c r="A987" s="197"/>
      <c r="E987" s="196"/>
    </row>
    <row r="988" spans="1:5" ht="15">
      <c r="A988" s="197"/>
      <c r="E988" s="196"/>
    </row>
    <row r="989" spans="1:5" ht="15">
      <c r="A989" s="197"/>
      <c r="E989" s="196"/>
    </row>
    <row r="990" spans="1:5" ht="15">
      <c r="A990" s="197"/>
      <c r="E990" s="196"/>
    </row>
    <row r="991" spans="1:5" ht="15">
      <c r="A991" s="197"/>
      <c r="E991" s="196"/>
    </row>
    <row r="992" spans="1:5" ht="15">
      <c r="A992" s="197"/>
      <c r="E992" s="196"/>
    </row>
    <row r="993" spans="1:5" ht="15">
      <c r="A993" s="197"/>
      <c r="E993" s="196"/>
    </row>
    <row r="994" spans="1:5" ht="15">
      <c r="A994" s="197"/>
      <c r="E994" s="196"/>
    </row>
    <row r="995" spans="1:5" ht="15">
      <c r="A995" s="197"/>
      <c r="E995" s="196"/>
    </row>
    <row r="996" spans="1:5" ht="15">
      <c r="A996" s="197"/>
      <c r="E996" s="196"/>
    </row>
    <row r="997" spans="1:5" ht="15">
      <c r="A997" s="197"/>
      <c r="E997" s="196"/>
    </row>
    <row r="998" spans="1:5" ht="15">
      <c r="A998" s="197"/>
      <c r="E998" s="196"/>
    </row>
    <row r="999" spans="1:5" ht="15">
      <c r="A999" s="197"/>
      <c r="E999" s="196"/>
    </row>
    <row r="1000" spans="1:5" ht="15">
      <c r="A1000" s="197"/>
      <c r="E1000" s="196"/>
    </row>
    <row r="1001" spans="1:5" ht="15">
      <c r="A1001" s="197"/>
      <c r="E1001" s="196"/>
    </row>
    <row r="1002" spans="1:5" ht="15">
      <c r="A1002" s="197"/>
      <c r="E1002" s="196"/>
    </row>
    <row r="1003" spans="1:5" ht="15">
      <c r="A1003" s="197"/>
      <c r="E1003" s="196"/>
    </row>
    <row r="1004" spans="1:5" ht="15">
      <c r="A1004" s="197"/>
      <c r="E1004" s="196"/>
    </row>
    <row r="1005" spans="1:5" ht="15">
      <c r="A1005" s="197"/>
      <c r="E1005" s="196"/>
    </row>
    <row r="1006" spans="1:5" ht="15">
      <c r="A1006" s="197"/>
      <c r="E1006" s="196"/>
    </row>
    <row r="1007" spans="1:5" ht="15">
      <c r="A1007" s="197"/>
      <c r="E1007" s="196"/>
    </row>
    <row r="1008" spans="1:5" ht="15">
      <c r="A1008" s="197"/>
      <c r="E1008" s="196"/>
    </row>
    <row r="1009" spans="1:5" ht="15">
      <c r="A1009" s="197"/>
      <c r="E1009" s="196"/>
    </row>
    <row r="1010" spans="1:5" ht="15">
      <c r="A1010" s="197"/>
      <c r="E1010" s="196"/>
    </row>
    <row r="1011" spans="1:5" ht="15">
      <c r="A1011" s="197"/>
      <c r="E1011" s="196"/>
    </row>
    <row r="1012" spans="1:5" ht="15">
      <c r="A1012" s="197"/>
      <c r="E1012" s="196"/>
    </row>
    <row r="1013" spans="1:5" ht="15">
      <c r="A1013" s="197"/>
      <c r="E1013" s="196"/>
    </row>
    <row r="1014" spans="1:5" ht="15">
      <c r="A1014" s="197"/>
      <c r="E1014" s="196"/>
    </row>
    <row r="1015" spans="1:5" ht="15">
      <c r="A1015" s="197"/>
      <c r="E1015" s="196"/>
    </row>
    <row r="1016" spans="1:5" ht="15">
      <c r="A1016" s="197"/>
      <c r="E1016" s="196"/>
    </row>
    <row r="1017" spans="1:5" ht="15">
      <c r="A1017" s="197"/>
      <c r="E1017" s="196"/>
    </row>
    <row r="1018" spans="1:5" ht="15">
      <c r="A1018" s="197"/>
      <c r="E1018" s="196"/>
    </row>
    <row r="1019" spans="1:5" ht="15">
      <c r="A1019" s="197"/>
      <c r="E1019" s="196"/>
    </row>
    <row r="1020" spans="1:5" ht="15">
      <c r="A1020" s="197"/>
      <c r="E1020" s="196"/>
    </row>
    <row r="1021" spans="1:5" ht="15">
      <c r="A1021" s="197"/>
      <c r="E1021" s="196"/>
    </row>
    <row r="1022" spans="1:5" ht="15">
      <c r="A1022" s="197"/>
      <c r="E1022" s="196"/>
    </row>
    <row r="1023" spans="1:5" ht="15">
      <c r="A1023" s="197"/>
      <c r="E1023" s="196"/>
    </row>
    <row r="1024" spans="1:5" ht="15">
      <c r="A1024" s="197"/>
      <c r="E1024" s="196"/>
    </row>
    <row r="1025" spans="1:5" ht="15">
      <c r="A1025" s="197"/>
      <c r="E1025" s="196"/>
    </row>
    <row r="1026" spans="1:5" ht="15">
      <c r="A1026" s="197"/>
      <c r="E1026" s="196"/>
    </row>
    <row r="1027" spans="1:5" ht="15">
      <c r="A1027" s="197"/>
      <c r="E1027" s="196"/>
    </row>
    <row r="1028" spans="1:5" ht="15">
      <c r="A1028" s="197"/>
      <c r="E1028" s="196"/>
    </row>
    <row r="1029" spans="1:5" ht="15">
      <c r="A1029" s="197"/>
      <c r="E1029" s="196"/>
    </row>
    <row r="1030" spans="1:5" ht="15">
      <c r="A1030" s="197"/>
      <c r="E1030" s="196"/>
    </row>
    <row r="1031" spans="1:5" ht="15">
      <c r="A1031" s="197"/>
      <c r="E1031" s="196"/>
    </row>
    <row r="1032" spans="1:5" ht="15">
      <c r="A1032" s="197"/>
      <c r="E1032" s="196"/>
    </row>
    <row r="1033" spans="1:5" ht="15">
      <c r="A1033" s="197"/>
      <c r="E1033" s="196"/>
    </row>
    <row r="1034" spans="1:5" ht="15">
      <c r="A1034" s="197"/>
      <c r="E1034" s="196"/>
    </row>
    <row r="1035" spans="1:5" ht="15">
      <c r="A1035" s="197"/>
      <c r="E1035" s="196"/>
    </row>
    <row r="1036" spans="1:5" ht="15">
      <c r="A1036" s="197"/>
      <c r="E1036" s="196"/>
    </row>
    <row r="1037" spans="1:5" ht="15">
      <c r="A1037" s="197"/>
      <c r="E1037" s="196"/>
    </row>
    <row r="1038" spans="1:5" ht="15">
      <c r="A1038" s="197"/>
      <c r="E1038" s="196"/>
    </row>
    <row r="1039" spans="1:5" ht="15">
      <c r="A1039" s="197"/>
      <c r="E1039" s="196"/>
    </row>
    <row r="1040" spans="1:5" ht="15">
      <c r="A1040" s="197"/>
      <c r="E1040" s="196"/>
    </row>
    <row r="1041" spans="1:5" ht="15">
      <c r="A1041" s="197"/>
      <c r="E1041" s="196"/>
    </row>
    <row r="1042" spans="1:5" ht="15">
      <c r="A1042" s="197"/>
      <c r="E1042" s="196"/>
    </row>
    <row r="1043" spans="1:5" ht="15">
      <c r="A1043" s="197"/>
      <c r="E1043" s="196"/>
    </row>
    <row r="1044" spans="1:5" ht="15">
      <c r="A1044" s="197"/>
      <c r="E1044" s="196"/>
    </row>
    <row r="1045" spans="1:5" ht="15">
      <c r="A1045" s="197"/>
      <c r="E1045" s="196"/>
    </row>
    <row r="1046" spans="1:5" ht="15">
      <c r="A1046" s="197"/>
      <c r="E1046" s="196"/>
    </row>
    <row r="1047" spans="1:5" ht="15">
      <c r="A1047" s="197"/>
      <c r="E1047" s="196"/>
    </row>
    <row r="1048" spans="1:5" ht="15">
      <c r="A1048" s="197"/>
      <c r="E1048" s="196"/>
    </row>
    <row r="1049" spans="1:5" ht="15">
      <c r="A1049" s="197"/>
      <c r="E1049" s="196"/>
    </row>
    <row r="1050" spans="1:5" ht="15">
      <c r="A1050" s="197"/>
      <c r="E1050" s="196"/>
    </row>
    <row r="1051" spans="1:5" ht="15">
      <c r="A1051" s="197"/>
      <c r="E1051" s="196"/>
    </row>
    <row r="1052" spans="1:5" ht="15">
      <c r="A1052" s="197"/>
      <c r="E1052" s="196"/>
    </row>
    <row r="1053" spans="1:5" ht="15">
      <c r="A1053" s="197"/>
      <c r="E1053" s="196"/>
    </row>
    <row r="1054" spans="1:5" ht="15">
      <c r="A1054" s="197"/>
      <c r="E1054" s="196"/>
    </row>
    <row r="1055" spans="1:5" ht="15">
      <c r="A1055" s="197"/>
      <c r="E1055" s="196"/>
    </row>
    <row r="1056" spans="1:5" ht="15">
      <c r="A1056" s="197"/>
      <c r="E1056" s="196"/>
    </row>
    <row r="1057" spans="1:5" ht="15">
      <c r="A1057" s="197"/>
      <c r="E1057" s="196"/>
    </row>
    <row r="1058" spans="1:5" ht="15">
      <c r="A1058" s="197"/>
      <c r="E1058" s="196"/>
    </row>
    <row r="1059" spans="1:5" ht="15">
      <c r="A1059" s="197"/>
      <c r="E1059" s="196"/>
    </row>
    <row r="1060" spans="1:5" ht="15">
      <c r="A1060" s="197"/>
      <c r="E1060" s="196"/>
    </row>
    <row r="1061" spans="1:5" ht="15">
      <c r="A1061" s="197"/>
      <c r="E1061" s="196"/>
    </row>
    <row r="1062" spans="1:5" ht="15">
      <c r="A1062" s="197"/>
      <c r="E1062" s="196"/>
    </row>
    <row r="1063" spans="1:5" ht="15">
      <c r="A1063" s="197"/>
      <c r="E1063" s="196"/>
    </row>
    <row r="1064" spans="1:5" ht="15">
      <c r="A1064" s="197"/>
      <c r="E1064" s="196"/>
    </row>
    <row r="1065" spans="1:5" ht="15">
      <c r="A1065" s="197"/>
      <c r="E1065" s="196"/>
    </row>
    <row r="1066" spans="1:5" ht="15">
      <c r="A1066" s="197"/>
      <c r="E1066" s="196"/>
    </row>
    <row r="1067" spans="1:5" ht="15">
      <c r="A1067" s="197"/>
      <c r="E1067" s="196"/>
    </row>
    <row r="1068" spans="1:5" ht="15">
      <c r="A1068" s="197"/>
      <c r="E1068" s="196"/>
    </row>
    <row r="1069" spans="1:5" ht="15">
      <c r="A1069" s="197"/>
      <c r="E1069" s="196"/>
    </row>
    <row r="1070" spans="1:5" ht="15">
      <c r="A1070" s="197"/>
      <c r="E1070" s="196"/>
    </row>
    <row r="1071" spans="1:5" ht="15">
      <c r="A1071" s="197"/>
      <c r="E1071" s="196"/>
    </row>
    <row r="1072" spans="1:5" ht="15">
      <c r="A1072" s="197"/>
      <c r="E1072" s="196"/>
    </row>
    <row r="1073" spans="1:5" ht="15">
      <c r="A1073" s="197"/>
      <c r="E1073" s="196"/>
    </row>
    <row r="1074" spans="1:5" ht="15">
      <c r="A1074" s="197"/>
      <c r="E1074" s="196"/>
    </row>
    <row r="1075" spans="1:5" ht="15">
      <c r="A1075" s="197"/>
      <c r="E1075" s="196"/>
    </row>
    <row r="1076" spans="1:5" ht="15">
      <c r="A1076" s="197"/>
      <c r="E1076" s="196"/>
    </row>
    <row r="1077" spans="1:5" ht="15">
      <c r="A1077" s="197"/>
      <c r="E1077" s="196"/>
    </row>
    <row r="1078" spans="1:5" ht="15">
      <c r="A1078" s="197"/>
      <c r="E1078" s="196"/>
    </row>
    <row r="1079" spans="1:5" ht="15">
      <c r="A1079" s="197"/>
      <c r="E1079" s="196"/>
    </row>
    <row r="1080" spans="1:5" ht="15">
      <c r="A1080" s="197"/>
      <c r="E1080" s="196"/>
    </row>
    <row r="1081" spans="1:5" ht="15">
      <c r="A1081" s="197"/>
      <c r="E1081" s="196"/>
    </row>
    <row r="1082" spans="1:5" ht="15">
      <c r="A1082" s="197"/>
      <c r="E1082" s="196"/>
    </row>
    <row r="1083" spans="1:5" ht="15">
      <c r="A1083" s="197"/>
      <c r="E1083" s="196"/>
    </row>
    <row r="1084" spans="1:5" ht="15">
      <c r="A1084" s="197"/>
      <c r="E1084" s="196"/>
    </row>
    <row r="1085" spans="1:5" ht="15">
      <c r="A1085" s="197"/>
      <c r="E1085" s="196"/>
    </row>
    <row r="1086" spans="1:5" ht="15">
      <c r="A1086" s="197"/>
      <c r="E1086" s="196"/>
    </row>
    <row r="1087" spans="1:5" ht="15">
      <c r="A1087" s="197"/>
      <c r="E1087" s="196"/>
    </row>
    <row r="1088" spans="1:5" ht="15">
      <c r="A1088" s="197"/>
      <c r="E1088" s="196"/>
    </row>
    <row r="1089" spans="1:5" ht="15">
      <c r="A1089" s="197"/>
      <c r="E1089" s="196"/>
    </row>
    <row r="1090" spans="1:5" ht="15">
      <c r="A1090" s="197"/>
      <c r="E1090" s="196"/>
    </row>
    <row r="1091" spans="1:5" ht="15">
      <c r="A1091" s="197"/>
      <c r="E1091" s="196"/>
    </row>
    <row r="1092" spans="1:5" ht="15">
      <c r="A1092" s="197"/>
      <c r="E1092" s="196"/>
    </row>
    <row r="1093" spans="1:5" ht="15">
      <c r="A1093" s="197"/>
      <c r="E1093" s="196"/>
    </row>
    <row r="1094" spans="1:5" ht="15">
      <c r="A1094" s="197"/>
      <c r="E1094" s="196"/>
    </row>
    <row r="1095" spans="1:5" ht="15">
      <c r="A1095" s="197"/>
      <c r="E1095" s="196"/>
    </row>
    <row r="1096" spans="1:5" ht="15">
      <c r="A1096" s="197"/>
      <c r="E1096" s="196"/>
    </row>
    <row r="1097" spans="1:5" ht="15">
      <c r="A1097" s="197"/>
      <c r="E1097" s="196"/>
    </row>
    <row r="1098" spans="1:5" ht="15">
      <c r="A1098" s="197"/>
      <c r="E1098" s="196"/>
    </row>
    <row r="1099" spans="1:5" ht="15">
      <c r="A1099" s="197"/>
      <c r="E1099" s="196"/>
    </row>
    <row r="1100" spans="1:5" ht="15">
      <c r="A1100" s="197"/>
      <c r="E1100" s="196"/>
    </row>
    <row r="1101" spans="1:5" ht="15">
      <c r="A1101" s="197"/>
      <c r="E1101" s="196"/>
    </row>
    <row r="1102" spans="1:5" ht="15">
      <c r="A1102" s="197"/>
      <c r="E1102" s="196"/>
    </row>
    <row r="1103" spans="1:5" ht="15">
      <c r="A1103" s="197"/>
      <c r="E1103" s="196"/>
    </row>
    <row r="1104" spans="1:5" ht="15">
      <c r="A1104" s="197"/>
      <c r="E1104" s="196"/>
    </row>
    <row r="1105" spans="1:5" ht="15">
      <c r="A1105" s="197"/>
      <c r="E1105" s="196"/>
    </row>
    <row r="1106" spans="1:5" ht="15">
      <c r="A1106" s="197"/>
      <c r="E1106" s="196"/>
    </row>
    <row r="1107" spans="1:5" ht="15">
      <c r="A1107" s="197"/>
      <c r="E1107" s="196"/>
    </row>
    <row r="1108" spans="1:5" ht="15">
      <c r="A1108" s="197"/>
      <c r="E1108" s="196"/>
    </row>
    <row r="1109" spans="1:5" ht="15">
      <c r="A1109" s="197"/>
      <c r="E1109" s="196"/>
    </row>
    <row r="1110" spans="1:5" ht="15">
      <c r="A1110" s="197"/>
      <c r="E1110" s="196"/>
    </row>
    <row r="1111" spans="1:5" ht="15">
      <c r="A1111" s="197"/>
      <c r="E1111" s="196"/>
    </row>
    <row r="1112" spans="1:5" ht="15">
      <c r="A1112" s="197"/>
      <c r="E1112" s="196"/>
    </row>
    <row r="1113" spans="1:5" ht="15">
      <c r="A1113" s="197"/>
      <c r="E1113" s="196"/>
    </row>
    <row r="1114" spans="1:5" ht="15">
      <c r="A1114" s="197"/>
      <c r="E1114" s="196"/>
    </row>
    <row r="1115" spans="1:5" ht="15">
      <c r="A1115" s="197"/>
      <c r="E1115" s="196"/>
    </row>
    <row r="1116" spans="1:5" ht="15">
      <c r="A1116" s="197"/>
      <c r="E1116" s="196"/>
    </row>
    <row r="1117" spans="1:5" ht="15">
      <c r="A1117" s="197"/>
      <c r="E1117" s="196"/>
    </row>
    <row r="1118" spans="1:5" ht="15">
      <c r="A1118" s="197"/>
      <c r="E1118" s="196"/>
    </row>
    <row r="1119" spans="1:5" ht="15">
      <c r="A1119" s="197"/>
      <c r="E1119" s="196"/>
    </row>
    <row r="1120" spans="1:5" ht="15">
      <c r="A1120" s="197"/>
      <c r="E1120" s="196"/>
    </row>
    <row r="1121" spans="1:14" ht="15">
      <c r="A1121" s="197"/>
      <c r="E1121" s="196"/>
    </row>
    <row r="1122" spans="1:14" ht="15">
      <c r="A1122" s="197"/>
      <c r="E1122" s="196"/>
      <c r="F1122" s="197"/>
      <c r="H1122" s="196"/>
      <c r="J1122" s="196"/>
      <c r="K1122" s="196"/>
      <c r="L1122" s="196"/>
      <c r="M1122" s="196"/>
    </row>
    <row r="1123" spans="1:14" ht="15">
      <c r="A1123" s="197"/>
      <c r="H1123" s="197"/>
      <c r="J1123" s="197"/>
      <c r="K1123" s="197"/>
      <c r="L1123" s="197"/>
      <c r="M1123" s="197"/>
      <c r="N1123" s="196"/>
    </row>
    <row r="1124" spans="1:14" ht="15">
      <c r="A1124" s="197"/>
      <c r="G1124" s="196"/>
      <c r="N1124" s="197"/>
    </row>
    <row r="1125" spans="1:14" ht="15">
      <c r="A1125" s="197"/>
      <c r="G1125" s="197"/>
    </row>
    <row r="1126" spans="1:14" ht="15">
      <c r="A1126" s="197"/>
      <c r="E1126" s="196"/>
    </row>
    <row r="1127" spans="1:14" ht="15">
      <c r="A1127" s="197"/>
      <c r="E1127" s="196"/>
    </row>
    <row r="1128" spans="1:14" ht="15">
      <c r="A1128" s="197"/>
      <c r="E1128" s="196"/>
    </row>
    <row r="1129" spans="1:14" ht="15">
      <c r="A1129" s="197"/>
      <c r="E1129" s="196"/>
    </row>
    <row r="1130" spans="1:14" ht="15">
      <c r="A1130" s="197"/>
      <c r="E1130" s="196"/>
    </row>
    <row r="1131" spans="1:14" ht="15">
      <c r="A1131" s="197"/>
      <c r="E1131" s="196"/>
    </row>
    <row r="1132" spans="1:14" ht="15">
      <c r="A1132" s="197"/>
      <c r="E1132" s="196"/>
    </row>
    <row r="1133" spans="1:14" ht="15">
      <c r="A1133" s="197"/>
      <c r="E1133" s="196"/>
      <c r="I1133" s="196"/>
    </row>
    <row r="1134" spans="1:14" ht="15">
      <c r="A1134" s="197"/>
      <c r="E1134" s="196"/>
      <c r="I1134" s="197"/>
    </row>
    <row r="1135" spans="1:14" ht="15">
      <c r="A1135" s="197"/>
      <c r="E1135" s="196"/>
    </row>
    <row r="1136" spans="1:14" ht="15">
      <c r="A1136" s="197"/>
      <c r="E1136" s="196"/>
    </row>
    <row r="1137" spans="1:5" ht="15">
      <c r="A1137" s="197"/>
      <c r="E1137" s="196"/>
    </row>
    <row r="1138" spans="1:5" ht="15">
      <c r="A1138" s="197"/>
      <c r="E1138" s="196"/>
    </row>
    <row r="1139" spans="1:5" ht="15">
      <c r="A1139" s="197"/>
      <c r="E1139" s="196"/>
    </row>
    <row r="1140" spans="1:5" ht="15">
      <c r="A1140" s="197"/>
      <c r="E1140" s="196"/>
    </row>
    <row r="1141" spans="1:5" ht="15">
      <c r="A1141" s="197"/>
      <c r="E1141" s="196"/>
    </row>
    <row r="1142" spans="1:5" ht="15">
      <c r="A1142" s="197"/>
      <c r="E1142" s="196"/>
    </row>
    <row r="1143" spans="1:5" ht="15">
      <c r="A1143" s="197"/>
      <c r="E1143" s="196"/>
    </row>
    <row r="1144" spans="1:5" ht="15">
      <c r="A1144" s="197"/>
      <c r="E1144" s="196"/>
    </row>
    <row r="1145" spans="1:5" ht="15">
      <c r="A1145" s="197"/>
      <c r="E1145" s="196"/>
    </row>
    <row r="1146" spans="1:5" ht="15">
      <c r="A1146" s="197"/>
      <c r="E1146" s="196"/>
    </row>
    <row r="1147" spans="1:5" ht="15">
      <c r="A1147" s="197"/>
      <c r="E1147" s="196"/>
    </row>
    <row r="1148" spans="1:5" ht="15">
      <c r="A1148" s="197"/>
      <c r="E1148" s="196"/>
    </row>
    <row r="1149" spans="1:5" ht="15">
      <c r="A1149" s="197"/>
      <c r="E1149" s="196"/>
    </row>
    <row r="1150" spans="1:5" ht="15">
      <c r="A1150" s="197"/>
      <c r="E1150" s="196"/>
    </row>
    <row r="1151" spans="1:5" ht="15">
      <c r="A1151" s="197"/>
      <c r="E1151" s="196"/>
    </row>
    <row r="1152" spans="1:5" ht="15">
      <c r="A1152" s="197"/>
      <c r="E1152" s="196"/>
    </row>
    <row r="1153" spans="1:5" ht="15">
      <c r="A1153" s="197"/>
      <c r="E1153" s="196"/>
    </row>
    <row r="1154" spans="1:5" ht="15">
      <c r="A1154" s="197"/>
      <c r="E1154" s="196"/>
    </row>
    <row r="1155" spans="1:5" ht="15">
      <c r="A1155" s="197"/>
      <c r="E1155" s="196"/>
    </row>
    <row r="1156" spans="1:5" ht="15">
      <c r="A1156" s="197"/>
      <c r="E1156" s="196"/>
    </row>
    <row r="1157" spans="1:5" ht="15">
      <c r="A1157" s="197"/>
      <c r="E1157" s="196"/>
    </row>
    <row r="1158" spans="1:5" ht="15">
      <c r="A1158" s="197"/>
      <c r="E1158" s="196"/>
    </row>
    <row r="1159" spans="1:5" ht="15">
      <c r="A1159" s="197"/>
      <c r="E1159" s="196"/>
    </row>
    <row r="1160" spans="1:5" ht="15">
      <c r="A1160" s="197"/>
      <c r="E1160" s="196"/>
    </row>
    <row r="1161" spans="1:5" ht="15">
      <c r="A1161" s="197"/>
      <c r="E1161" s="196"/>
    </row>
    <row r="1162" spans="1:5" ht="15">
      <c r="A1162" s="197"/>
      <c r="E1162" s="196"/>
    </row>
    <row r="1163" spans="1:5" ht="15">
      <c r="A1163" s="197"/>
      <c r="E1163" s="196"/>
    </row>
    <row r="1164" spans="1:5" ht="15">
      <c r="A1164" s="197"/>
      <c r="E1164" s="196"/>
    </row>
    <row r="1165" spans="1:5" ht="15">
      <c r="A1165" s="197"/>
      <c r="E1165" s="196"/>
    </row>
    <row r="1166" spans="1:5" ht="15">
      <c r="A1166" s="197"/>
      <c r="E1166" s="196"/>
    </row>
    <row r="1167" spans="1:5" ht="15">
      <c r="A1167" s="197"/>
      <c r="E1167" s="196"/>
    </row>
    <row r="1168" spans="1:5" ht="15">
      <c r="A1168" s="197"/>
      <c r="E1168" s="196"/>
    </row>
    <row r="1169" spans="1:5" ht="15">
      <c r="A1169" s="197"/>
      <c r="E1169" s="196"/>
    </row>
    <row r="1170" spans="1:5" ht="15">
      <c r="A1170" s="197"/>
      <c r="E1170" s="196"/>
    </row>
    <row r="1171" spans="1:5" ht="15">
      <c r="A1171" s="197"/>
      <c r="E1171" s="196"/>
    </row>
    <row r="1172" spans="1:5" ht="15">
      <c r="A1172" s="197"/>
      <c r="E1172" s="196"/>
    </row>
    <row r="1173" spans="1:5" ht="15">
      <c r="A1173" s="197"/>
      <c r="E1173" s="196"/>
    </row>
    <row r="1174" spans="1:5" ht="15">
      <c r="A1174" s="197"/>
      <c r="E1174" s="196"/>
    </row>
    <row r="1175" spans="1:5" ht="15">
      <c r="A1175" s="197"/>
      <c r="E1175" s="196"/>
    </row>
    <row r="1176" spans="1:5" ht="15">
      <c r="A1176" s="197"/>
      <c r="E1176" s="196"/>
    </row>
    <row r="1177" spans="1:5" ht="15">
      <c r="A1177" s="197"/>
      <c r="E1177" s="196"/>
    </row>
    <row r="1178" spans="1:5" ht="15">
      <c r="A1178" s="197"/>
      <c r="E1178" s="196"/>
    </row>
    <row r="1179" spans="1:5" ht="15">
      <c r="A1179" s="197"/>
      <c r="E1179" s="196"/>
    </row>
    <row r="1180" spans="1:5" ht="15">
      <c r="A1180" s="197"/>
      <c r="E1180" s="196"/>
    </row>
    <row r="1181" spans="1:5" ht="15">
      <c r="A1181" s="197"/>
      <c r="E1181" s="196"/>
    </row>
    <row r="1182" spans="1:5" ht="15">
      <c r="A1182" s="197"/>
      <c r="E1182" s="196"/>
    </row>
    <row r="1183" spans="1:5" ht="15">
      <c r="A1183" s="197"/>
      <c r="E1183" s="196"/>
    </row>
    <row r="1184" spans="1:5" ht="15">
      <c r="A1184" s="197"/>
      <c r="E1184" s="196"/>
    </row>
    <row r="1185" spans="1:5" ht="15">
      <c r="A1185" s="197"/>
      <c r="E1185" s="196"/>
    </row>
    <row r="1186" spans="1:5" ht="15">
      <c r="A1186" s="197"/>
      <c r="E1186" s="196"/>
    </row>
    <row r="1187" spans="1:5" ht="15">
      <c r="A1187" s="197"/>
      <c r="E1187" s="196"/>
    </row>
    <row r="1188" spans="1:5" ht="15">
      <c r="A1188" s="197"/>
      <c r="E1188" s="196"/>
    </row>
    <row r="1189" spans="1:5" ht="15">
      <c r="A1189" s="197"/>
      <c r="E1189" s="196"/>
    </row>
    <row r="1190" spans="1:5" ht="15">
      <c r="A1190" s="197"/>
      <c r="E1190" s="196"/>
    </row>
    <row r="1191" spans="1:5" ht="15">
      <c r="A1191" s="197"/>
      <c r="E1191" s="196"/>
    </row>
    <row r="1192" spans="1:5" ht="15">
      <c r="A1192" s="197"/>
      <c r="E1192" s="196"/>
    </row>
    <row r="1193" spans="1:5" ht="15">
      <c r="A1193" s="197"/>
      <c r="E1193" s="196"/>
    </row>
    <row r="1194" spans="1:5" ht="15">
      <c r="A1194" s="197"/>
      <c r="E1194" s="196"/>
    </row>
    <row r="1195" spans="1:5" ht="15">
      <c r="A1195" s="197"/>
      <c r="E1195" s="196"/>
    </row>
    <row r="1196" spans="1:5" ht="15">
      <c r="A1196" s="197"/>
      <c r="E1196" s="196"/>
    </row>
    <row r="1197" spans="1:5" ht="15">
      <c r="A1197" s="197"/>
      <c r="E1197" s="196"/>
    </row>
    <row r="1198" spans="1:5" ht="15">
      <c r="A1198" s="197"/>
      <c r="E1198" s="196"/>
    </row>
    <row r="1199" spans="1:5" ht="15">
      <c r="A1199" s="197"/>
      <c r="E1199" s="196"/>
    </row>
    <row r="1200" spans="1:5" ht="15">
      <c r="A1200" s="197"/>
      <c r="E1200" s="196"/>
    </row>
    <row r="1201" spans="1:5" ht="15">
      <c r="A1201" s="197"/>
      <c r="E1201" s="196"/>
    </row>
    <row r="1202" spans="1:5" ht="15">
      <c r="A1202" s="197"/>
      <c r="E1202" s="196"/>
    </row>
    <row r="1203" spans="1:5" ht="15">
      <c r="A1203" s="197"/>
      <c r="E1203" s="196"/>
    </row>
    <row r="1204" spans="1:5" ht="15">
      <c r="A1204" s="197"/>
      <c r="E1204" s="196"/>
    </row>
    <row r="1205" spans="1:5" ht="15">
      <c r="A1205" s="197"/>
      <c r="E1205" s="196"/>
    </row>
    <row r="1206" spans="1:5" ht="15">
      <c r="A1206" s="197"/>
      <c r="E1206" s="196"/>
    </row>
    <row r="1207" spans="1:5" ht="15">
      <c r="A1207" s="197"/>
      <c r="E1207" s="196"/>
    </row>
    <row r="1208" spans="1:5" ht="15">
      <c r="A1208" s="197"/>
      <c r="E1208" s="196"/>
    </row>
    <row r="1209" spans="1:5" ht="15">
      <c r="A1209" s="197"/>
      <c r="E1209" s="196"/>
    </row>
    <row r="1210" spans="1:5" ht="15">
      <c r="A1210" s="197"/>
      <c r="E1210" s="196"/>
    </row>
    <row r="1211" spans="1:5" ht="15">
      <c r="A1211" s="197"/>
      <c r="E1211" s="196"/>
    </row>
    <row r="1212" spans="1:5" ht="15">
      <c r="A1212" s="197"/>
      <c r="E1212" s="196"/>
    </row>
    <row r="1213" spans="1:5" ht="15">
      <c r="A1213" s="197"/>
      <c r="E1213" s="196"/>
    </row>
    <row r="1214" spans="1:5" ht="15">
      <c r="A1214" s="197"/>
      <c r="E1214" s="196"/>
    </row>
    <row r="1215" spans="1:5" ht="15">
      <c r="A1215" s="197"/>
      <c r="E1215" s="196"/>
    </row>
    <row r="1216" spans="1:5" ht="15">
      <c r="A1216" s="197"/>
      <c r="E1216" s="196"/>
    </row>
    <row r="1217" spans="1:5" ht="15">
      <c r="A1217" s="197"/>
      <c r="E1217" s="196"/>
    </row>
    <row r="1218" spans="1:5" ht="15">
      <c r="A1218" s="197"/>
      <c r="E1218" s="196"/>
    </row>
    <row r="1219" spans="1:5" ht="15">
      <c r="A1219" s="197"/>
      <c r="E1219" s="196"/>
    </row>
    <row r="1220" spans="1:5" ht="15">
      <c r="A1220" s="197"/>
      <c r="E1220" s="196"/>
    </row>
    <row r="1221" spans="1:5" ht="15">
      <c r="A1221" s="197"/>
      <c r="E1221" s="196"/>
    </row>
    <row r="1222" spans="1:5" ht="15">
      <c r="A1222" s="197"/>
      <c r="E1222" s="196"/>
    </row>
    <row r="1223" spans="1:5" ht="15">
      <c r="A1223" s="197"/>
      <c r="E1223" s="196"/>
    </row>
    <row r="1224" spans="1:5" ht="15">
      <c r="A1224" s="197"/>
      <c r="E1224" s="196"/>
    </row>
    <row r="1225" spans="1:5" ht="15">
      <c r="A1225" s="197"/>
      <c r="E1225" s="196"/>
    </row>
    <row r="1226" spans="1:5" ht="15">
      <c r="A1226" s="197"/>
      <c r="E1226" s="196"/>
    </row>
    <row r="1227" spans="1:5" ht="15">
      <c r="A1227" s="197"/>
      <c r="E1227" s="196"/>
    </row>
    <row r="1228" spans="1:5" ht="15">
      <c r="A1228" s="197"/>
      <c r="E1228" s="196"/>
    </row>
    <row r="1229" spans="1:5" ht="15">
      <c r="A1229" s="197"/>
      <c r="E1229" s="196"/>
    </row>
    <row r="1230" spans="1:5" ht="15">
      <c r="A1230" s="197"/>
      <c r="E1230" s="196"/>
    </row>
    <row r="1231" spans="1:5" ht="15">
      <c r="A1231" s="197"/>
      <c r="E1231" s="196"/>
    </row>
    <row r="1232" spans="1:5" ht="15">
      <c r="A1232" s="197"/>
      <c r="E1232" s="196"/>
    </row>
    <row r="1233" spans="1:5" ht="15">
      <c r="A1233" s="197"/>
      <c r="E1233" s="196"/>
    </row>
    <row r="1234" spans="1:5" ht="15">
      <c r="A1234" s="197"/>
      <c r="E1234" s="196"/>
    </row>
    <row r="1235" spans="1:5" ht="15">
      <c r="A1235" s="197"/>
      <c r="E1235" s="196"/>
    </row>
    <row r="1236" spans="1:5" ht="15">
      <c r="A1236" s="197"/>
      <c r="E1236" s="196"/>
    </row>
    <row r="1237" spans="1:5" ht="15">
      <c r="A1237" s="197"/>
      <c r="E1237" s="196"/>
    </row>
    <row r="1238" spans="1:5" ht="15">
      <c r="A1238" s="197"/>
      <c r="E1238" s="196"/>
    </row>
    <row r="1239" spans="1:5" ht="15">
      <c r="A1239" s="197"/>
      <c r="E1239" s="196"/>
    </row>
    <row r="1240" spans="1:5" ht="15">
      <c r="A1240" s="197"/>
      <c r="E1240" s="196"/>
    </row>
    <row r="1241" spans="1:5" ht="15">
      <c r="A1241" s="197"/>
      <c r="E1241" s="196"/>
    </row>
    <row r="1242" spans="1:5" ht="15">
      <c r="A1242" s="197"/>
      <c r="E1242" s="196"/>
    </row>
    <row r="1243" spans="1:5" ht="15">
      <c r="A1243" s="197"/>
      <c r="E1243" s="196"/>
    </row>
    <row r="1244" spans="1:5" ht="15">
      <c r="A1244" s="197"/>
      <c r="E1244" s="196"/>
    </row>
    <row r="1245" spans="1:5" ht="15">
      <c r="A1245" s="197"/>
      <c r="E1245" s="196"/>
    </row>
    <row r="1246" spans="1:5" ht="15">
      <c r="A1246" s="197"/>
      <c r="E1246" s="196"/>
    </row>
    <row r="1247" spans="1:5" ht="15">
      <c r="A1247" s="197"/>
      <c r="E1247" s="196"/>
    </row>
    <row r="1248" spans="1:5" ht="15">
      <c r="A1248" s="197"/>
      <c r="E1248" s="196"/>
    </row>
    <row r="1249" spans="1:5" ht="15">
      <c r="A1249" s="197"/>
      <c r="E1249" s="196"/>
    </row>
    <row r="1250" spans="1:5" ht="15">
      <c r="A1250" s="197"/>
      <c r="E1250" s="196"/>
    </row>
    <row r="1251" spans="1:5" ht="15">
      <c r="A1251" s="197"/>
      <c r="E1251" s="196"/>
    </row>
    <row r="1252" spans="1:5" ht="15">
      <c r="A1252" s="197"/>
      <c r="E1252" s="196"/>
    </row>
    <row r="1253" spans="1:5" ht="15">
      <c r="A1253" s="197"/>
      <c r="E1253" s="196"/>
    </row>
    <row r="1254" spans="1:5" ht="15">
      <c r="A1254" s="197"/>
      <c r="E1254" s="196"/>
    </row>
    <row r="1255" spans="1:5" ht="15">
      <c r="A1255" s="197"/>
      <c r="E1255" s="196"/>
    </row>
    <row r="1256" spans="1:5" ht="15">
      <c r="A1256" s="197"/>
      <c r="E1256" s="196"/>
    </row>
    <row r="1257" spans="1:5" ht="15">
      <c r="A1257" s="197"/>
      <c r="E1257" s="196"/>
    </row>
    <row r="1258" spans="1:5" ht="15">
      <c r="A1258" s="197"/>
      <c r="E1258" s="196"/>
    </row>
    <row r="1259" spans="1:5" ht="15">
      <c r="A1259" s="197"/>
      <c r="E1259" s="196"/>
    </row>
    <row r="1260" spans="1:5" ht="15">
      <c r="A1260" s="197"/>
      <c r="E1260" s="196"/>
    </row>
    <row r="1261" spans="1:5" ht="15">
      <c r="A1261" s="197"/>
      <c r="E1261" s="196"/>
    </row>
    <row r="1262" spans="1:5" ht="15">
      <c r="A1262" s="197"/>
      <c r="E1262" s="196"/>
    </row>
    <row r="1263" spans="1:5" ht="15">
      <c r="A1263" s="197"/>
      <c r="E1263" s="196"/>
    </row>
    <row r="1264" spans="1:5" ht="15">
      <c r="A1264" s="197"/>
      <c r="E1264" s="196"/>
    </row>
    <row r="1265" spans="1:5" ht="15">
      <c r="A1265" s="197"/>
      <c r="E1265" s="196"/>
    </row>
    <row r="1266" spans="1:5" ht="15">
      <c r="A1266" s="197"/>
      <c r="E1266" s="196"/>
    </row>
    <row r="1267" spans="1:5" ht="15">
      <c r="A1267" s="197"/>
      <c r="E1267" s="196"/>
    </row>
    <row r="1268" spans="1:5" ht="15">
      <c r="A1268" s="197"/>
      <c r="E1268" s="196"/>
    </row>
    <row r="1269" spans="1:5" ht="15">
      <c r="A1269" s="197"/>
      <c r="E1269" s="196"/>
    </row>
    <row r="1270" spans="1:5" ht="15">
      <c r="A1270" s="197"/>
      <c r="E1270" s="196"/>
    </row>
    <row r="1271" spans="1:5" ht="15">
      <c r="A1271" s="197"/>
      <c r="E1271" s="196"/>
    </row>
    <row r="1272" spans="1:5" ht="15">
      <c r="A1272" s="197"/>
      <c r="E1272" s="196"/>
    </row>
    <row r="1273" spans="1:5" ht="15">
      <c r="A1273" s="197"/>
      <c r="E1273" s="196"/>
    </row>
    <row r="1274" spans="1:5" ht="15">
      <c r="A1274" s="197"/>
      <c r="E1274" s="196"/>
    </row>
    <row r="1275" spans="1:5" ht="15">
      <c r="A1275" s="197"/>
      <c r="E1275" s="196"/>
    </row>
    <row r="1276" spans="1:5" ht="15">
      <c r="A1276" s="197"/>
      <c r="E1276" s="196"/>
    </row>
    <row r="1277" spans="1:5" ht="15">
      <c r="A1277" s="197"/>
      <c r="E1277" s="196"/>
    </row>
    <row r="1278" spans="1:5" ht="15">
      <c r="A1278" s="197"/>
      <c r="E1278" s="196"/>
    </row>
    <row r="1279" spans="1:5" ht="15">
      <c r="A1279" s="197"/>
      <c r="E1279" s="196"/>
    </row>
    <row r="1280" spans="1:5" ht="15">
      <c r="A1280" s="197"/>
      <c r="E1280" s="196"/>
    </row>
    <row r="1281" spans="1:5" ht="15">
      <c r="A1281" s="197"/>
      <c r="E1281" s="196"/>
    </row>
    <row r="1282" spans="1:5" ht="15">
      <c r="A1282" s="197"/>
      <c r="E1282" s="196"/>
    </row>
    <row r="1283" spans="1:5" ht="15">
      <c r="A1283" s="197"/>
      <c r="E1283" s="196"/>
    </row>
    <row r="1284" spans="1:5" ht="15">
      <c r="A1284" s="197"/>
      <c r="E1284" s="196"/>
    </row>
    <row r="1285" spans="1:5" ht="15">
      <c r="A1285" s="197"/>
      <c r="E1285" s="196"/>
    </row>
    <row r="1286" spans="1:5" ht="15">
      <c r="A1286" s="197"/>
      <c r="E1286" s="196"/>
    </row>
    <row r="1287" spans="1:5" ht="15">
      <c r="A1287" s="197"/>
      <c r="E1287" s="196"/>
    </row>
    <row r="1288" spans="1:5" ht="15">
      <c r="A1288" s="197"/>
      <c r="E1288" s="196"/>
    </row>
    <row r="1289" spans="1:5" ht="15">
      <c r="A1289" s="197"/>
      <c r="E1289" s="196"/>
    </row>
    <row r="1290" spans="1:5" ht="15">
      <c r="A1290" s="197"/>
      <c r="E1290" s="196"/>
    </row>
    <row r="1291" spans="1:5" ht="15">
      <c r="A1291" s="197"/>
      <c r="E1291" s="196"/>
    </row>
    <row r="1292" spans="1:5" ht="15">
      <c r="A1292" s="197"/>
      <c r="E1292" s="196"/>
    </row>
    <row r="1293" spans="1:5" ht="15">
      <c r="A1293" s="197"/>
      <c r="E1293" s="196"/>
    </row>
    <row r="1294" spans="1:5" ht="15">
      <c r="A1294" s="197"/>
      <c r="E1294" s="196"/>
    </row>
    <row r="1295" spans="1:5" ht="15">
      <c r="A1295" s="197"/>
      <c r="E1295" s="196"/>
    </row>
    <row r="1296" spans="1:5" ht="15">
      <c r="A1296" s="197"/>
      <c r="E1296" s="196"/>
    </row>
    <row r="1297" spans="1:5" ht="15">
      <c r="A1297" s="197"/>
      <c r="E1297" s="196"/>
    </row>
    <row r="1298" spans="1:5" ht="15">
      <c r="A1298" s="197"/>
      <c r="E1298" s="196"/>
    </row>
    <row r="1299" spans="1:5" ht="15">
      <c r="A1299" s="197"/>
      <c r="E1299" s="196"/>
    </row>
    <row r="1300" spans="1:5" ht="15">
      <c r="A1300" s="197"/>
      <c r="E1300" s="196"/>
    </row>
    <row r="1301" spans="1:5" ht="15">
      <c r="A1301" s="197"/>
      <c r="E1301" s="196"/>
    </row>
    <row r="1302" spans="1:5" ht="15">
      <c r="A1302" s="197"/>
      <c r="E1302" s="196"/>
    </row>
    <row r="1303" spans="1:5" ht="15">
      <c r="A1303" s="197"/>
      <c r="E1303" s="196"/>
    </row>
    <row r="1304" spans="1:5" ht="15">
      <c r="A1304" s="197"/>
      <c r="E1304" s="196"/>
    </row>
    <row r="1305" spans="1:5" ht="15">
      <c r="A1305" s="197"/>
      <c r="E1305" s="196"/>
    </row>
    <row r="1306" spans="1:5" ht="15">
      <c r="A1306" s="197"/>
      <c r="E1306" s="196"/>
    </row>
    <row r="1307" spans="1:5" ht="15">
      <c r="A1307" s="197"/>
      <c r="E1307" s="196"/>
    </row>
    <row r="1308" spans="1:5" ht="15">
      <c r="A1308" s="197"/>
      <c r="E1308" s="196"/>
    </row>
    <row r="1309" spans="1:5" ht="15">
      <c r="A1309" s="197"/>
      <c r="E1309" s="196"/>
    </row>
    <row r="1310" spans="1:5" ht="15">
      <c r="A1310" s="197"/>
      <c r="E1310" s="196"/>
    </row>
    <row r="1311" spans="1:5" ht="15">
      <c r="A1311" s="197"/>
      <c r="E1311" s="196"/>
    </row>
    <row r="1312" spans="1:5" ht="15">
      <c r="A1312" s="197"/>
      <c r="E1312" s="196"/>
    </row>
    <row r="1313" spans="1:5" ht="15">
      <c r="A1313" s="197"/>
      <c r="E1313" s="196"/>
    </row>
    <row r="1314" spans="1:5" ht="15">
      <c r="A1314" s="197"/>
      <c r="E1314" s="196"/>
    </row>
    <row r="1315" spans="1:5" ht="15">
      <c r="A1315" s="197"/>
      <c r="E1315" s="196"/>
    </row>
    <row r="1316" spans="1:5" ht="15">
      <c r="A1316" s="197"/>
      <c r="E1316" s="196"/>
    </row>
    <row r="1317" spans="1:5" ht="15">
      <c r="A1317" s="197"/>
      <c r="E1317" s="196"/>
    </row>
    <row r="1318" spans="1:5" ht="15">
      <c r="A1318" s="197"/>
      <c r="E1318" s="196"/>
    </row>
    <row r="1319" spans="1:5" ht="15">
      <c r="A1319" s="197"/>
      <c r="E1319" s="196"/>
    </row>
    <row r="1320" spans="1:5" ht="15">
      <c r="A1320" s="197"/>
      <c r="E1320" s="196"/>
    </row>
    <row r="1321" spans="1:5" ht="15">
      <c r="A1321" s="197"/>
      <c r="E1321" s="196"/>
    </row>
    <row r="1322" spans="1:5" ht="15">
      <c r="A1322" s="197"/>
      <c r="E1322" s="196"/>
    </row>
    <row r="1323" spans="1:5" ht="15">
      <c r="A1323" s="197"/>
      <c r="E1323" s="196"/>
    </row>
    <row r="1324" spans="1:5" ht="15">
      <c r="A1324" s="197"/>
      <c r="E1324" s="196"/>
    </row>
    <row r="1325" spans="1:5" ht="15">
      <c r="A1325" s="197"/>
      <c r="E1325" s="196"/>
    </row>
    <row r="1326" spans="1:5" ht="15">
      <c r="A1326" s="197"/>
      <c r="E1326" s="196"/>
    </row>
    <row r="1327" spans="1:5" ht="15">
      <c r="A1327" s="197"/>
      <c r="E1327" s="196"/>
    </row>
    <row r="1328" spans="1:5" ht="15">
      <c r="A1328" s="197"/>
      <c r="E1328" s="196"/>
    </row>
    <row r="1329" spans="1:5" ht="15">
      <c r="A1329" s="197"/>
      <c r="E1329" s="196"/>
    </row>
    <row r="1330" spans="1:5" ht="15">
      <c r="A1330" s="197"/>
      <c r="E1330" s="196"/>
    </row>
    <row r="1331" spans="1:5" ht="15">
      <c r="A1331" s="197"/>
      <c r="E1331" s="196"/>
    </row>
    <row r="1332" spans="1:5" ht="15">
      <c r="A1332" s="197"/>
      <c r="E1332" s="196"/>
    </row>
    <row r="1333" spans="1:5" ht="15">
      <c r="A1333" s="197"/>
      <c r="E1333" s="196"/>
    </row>
    <row r="1334" spans="1:5" ht="15">
      <c r="A1334" s="197"/>
      <c r="E1334" s="196"/>
    </row>
    <row r="1335" spans="1:5" ht="15">
      <c r="A1335" s="197"/>
      <c r="E1335" s="196"/>
    </row>
    <row r="1336" spans="1:5" ht="15">
      <c r="A1336" s="197"/>
      <c r="E1336" s="196"/>
    </row>
    <row r="1337" spans="1:5" ht="15">
      <c r="A1337" s="197"/>
      <c r="E1337" s="196"/>
    </row>
    <row r="1338" spans="1:5" ht="15">
      <c r="A1338" s="197"/>
      <c r="E1338" s="196"/>
    </row>
    <row r="1339" spans="1:5" ht="15">
      <c r="A1339" s="197"/>
      <c r="E1339" s="196"/>
    </row>
    <row r="1340" spans="1:5" ht="15">
      <c r="A1340" s="197"/>
      <c r="E1340" s="196"/>
    </row>
    <row r="1341" spans="1:5" ht="15">
      <c r="A1341" s="197"/>
      <c r="E1341" s="196"/>
    </row>
    <row r="1342" spans="1:5" ht="15">
      <c r="A1342" s="197"/>
      <c r="E1342" s="196"/>
    </row>
    <row r="1343" spans="1:5" ht="15">
      <c r="A1343" s="197"/>
      <c r="E1343" s="196"/>
    </row>
    <row r="1344" spans="1:5" ht="15">
      <c r="A1344" s="197"/>
      <c r="E1344" s="196"/>
    </row>
    <row r="1345" spans="1:5" ht="15">
      <c r="A1345" s="197"/>
      <c r="E1345" s="196"/>
    </row>
    <row r="1346" spans="1:5" ht="15">
      <c r="A1346" s="197"/>
      <c r="E1346" s="196"/>
    </row>
    <row r="1347" spans="1:5" ht="15">
      <c r="A1347" s="197"/>
      <c r="E1347" s="196"/>
    </row>
    <row r="1348" spans="1:5" ht="15">
      <c r="A1348" s="197"/>
      <c r="E1348" s="196"/>
    </row>
    <row r="1349" spans="1:5" ht="15">
      <c r="A1349" s="197"/>
      <c r="E1349" s="196"/>
    </row>
    <row r="1350" spans="1:5" ht="15">
      <c r="A1350" s="197"/>
      <c r="E1350" s="196"/>
    </row>
    <row r="1351" spans="1:5" ht="15">
      <c r="A1351" s="197"/>
      <c r="E1351" s="196"/>
    </row>
    <row r="1352" spans="1:5" ht="15">
      <c r="A1352" s="197"/>
      <c r="E1352" s="196"/>
    </row>
    <row r="1353" spans="1:5" ht="15">
      <c r="A1353" s="197"/>
      <c r="E1353" s="196"/>
    </row>
    <row r="1354" spans="1:5" ht="15">
      <c r="A1354" s="197"/>
      <c r="E1354" s="196"/>
    </row>
    <row r="1355" spans="1:5" ht="15">
      <c r="A1355" s="197"/>
      <c r="E1355" s="196"/>
    </row>
    <row r="1356" spans="1:5" ht="15">
      <c r="A1356" s="197"/>
      <c r="E1356" s="196"/>
    </row>
    <row r="1357" spans="1:5" ht="15">
      <c r="A1357" s="197"/>
      <c r="E1357" s="196"/>
    </row>
    <row r="1358" spans="1:5" ht="15">
      <c r="A1358" s="197"/>
      <c r="E1358" s="196"/>
    </row>
    <row r="1359" spans="1:5" ht="15">
      <c r="A1359" s="197"/>
      <c r="E1359" s="196"/>
    </row>
    <row r="1360" spans="1:5" ht="15">
      <c r="A1360" s="197"/>
      <c r="E1360" s="196"/>
    </row>
    <row r="1361" spans="1:5" ht="15">
      <c r="A1361" s="197"/>
      <c r="E1361" s="196"/>
    </row>
    <row r="1362" spans="1:5" ht="15">
      <c r="A1362" s="197"/>
      <c r="E1362" s="196"/>
    </row>
    <row r="1363" spans="1:5" ht="15">
      <c r="A1363" s="197"/>
      <c r="E1363" s="196"/>
    </row>
    <row r="1364" spans="1:5" ht="15">
      <c r="A1364" s="197"/>
      <c r="E1364" s="196"/>
    </row>
    <row r="1365" spans="1:5" ht="15">
      <c r="A1365" s="197"/>
      <c r="E1365" s="196"/>
    </row>
    <row r="1366" spans="1:5" ht="15">
      <c r="A1366" s="197"/>
      <c r="E1366" s="196"/>
    </row>
    <row r="1367" spans="1:5" ht="15">
      <c r="A1367" s="197"/>
      <c r="E1367" s="196"/>
    </row>
    <row r="1368" spans="1:5" ht="15">
      <c r="A1368" s="197"/>
      <c r="E1368" s="196"/>
    </row>
    <row r="1369" spans="1:5" ht="15">
      <c r="A1369" s="197"/>
      <c r="E1369" s="196"/>
    </row>
    <row r="1370" spans="1:5" ht="15">
      <c r="A1370" s="197"/>
      <c r="E1370" s="196"/>
    </row>
    <row r="1371" spans="1:5" ht="15">
      <c r="A1371" s="197"/>
      <c r="E1371" s="196"/>
    </row>
    <row r="1372" spans="1:5" ht="15">
      <c r="A1372" s="197"/>
      <c r="E1372" s="196"/>
    </row>
    <row r="1373" spans="1:5" ht="15">
      <c r="A1373" s="197"/>
      <c r="E1373" s="196"/>
    </row>
    <row r="1374" spans="1:5" ht="15">
      <c r="A1374" s="197"/>
      <c r="E1374" s="196"/>
    </row>
    <row r="1375" spans="1:5" ht="15">
      <c r="A1375" s="197"/>
      <c r="E1375" s="196"/>
    </row>
    <row r="1376" spans="1:5" ht="15">
      <c r="A1376" s="197"/>
      <c r="E1376" s="196"/>
    </row>
    <row r="1377" spans="1:5" ht="15">
      <c r="A1377" s="197"/>
      <c r="E1377" s="196"/>
    </row>
    <row r="1378" spans="1:5" ht="15">
      <c r="A1378" s="197"/>
      <c r="E1378" s="196"/>
    </row>
    <row r="1379" spans="1:5" ht="15">
      <c r="A1379" s="197"/>
      <c r="E1379" s="196"/>
    </row>
    <row r="1380" spans="1:5" ht="15">
      <c r="A1380" s="197"/>
      <c r="E1380" s="196"/>
    </row>
    <row r="1381" spans="1:5" ht="15">
      <c r="A1381" s="197"/>
      <c r="E1381" s="196"/>
    </row>
    <row r="1382" spans="1:5" ht="15">
      <c r="A1382" s="197"/>
      <c r="E1382" s="196"/>
    </row>
    <row r="1383" spans="1:5" ht="15">
      <c r="A1383" s="197"/>
      <c r="E1383" s="196"/>
    </row>
    <row r="1384" spans="1:5" ht="15">
      <c r="A1384" s="197"/>
      <c r="E1384" s="196"/>
    </row>
    <row r="1385" spans="1:5" ht="15">
      <c r="A1385" s="197"/>
      <c r="E1385" s="196"/>
    </row>
    <row r="1386" spans="1:5" ht="15">
      <c r="A1386" s="197"/>
      <c r="E1386" s="196"/>
    </row>
    <row r="1387" spans="1:5" ht="15">
      <c r="A1387" s="197"/>
      <c r="E1387" s="196"/>
    </row>
    <row r="1388" spans="1:5" ht="15">
      <c r="A1388" s="197"/>
      <c r="E1388" s="196"/>
    </row>
    <row r="1389" spans="1:5" ht="15">
      <c r="A1389" s="197"/>
      <c r="E1389" s="196"/>
    </row>
    <row r="1390" spans="1:5" ht="15">
      <c r="A1390" s="197"/>
      <c r="E1390" s="196"/>
    </row>
    <row r="1391" spans="1:5" ht="15">
      <c r="A1391" s="197"/>
      <c r="E1391" s="196"/>
    </row>
    <row r="1392" spans="1:5" ht="15">
      <c r="A1392" s="197"/>
      <c r="E1392" s="196"/>
    </row>
    <row r="1393" spans="1:5" ht="15">
      <c r="A1393" s="197"/>
      <c r="E1393" s="196"/>
    </row>
    <row r="1394" spans="1:5" ht="15">
      <c r="A1394" s="197"/>
      <c r="E1394" s="196"/>
    </row>
    <row r="1395" spans="1:5" ht="15">
      <c r="A1395" s="197"/>
      <c r="E1395" s="196"/>
    </row>
    <row r="1396" spans="1:5" ht="15">
      <c r="A1396" s="197"/>
      <c r="E1396" s="196"/>
    </row>
    <row r="1397" spans="1:5" ht="15">
      <c r="A1397" s="197"/>
      <c r="E1397" s="196"/>
    </row>
    <row r="1398" spans="1:5" ht="15">
      <c r="A1398" s="197"/>
      <c r="E1398" s="196"/>
    </row>
    <row r="1399" spans="1:5" ht="15">
      <c r="A1399" s="197"/>
      <c r="E1399" s="196"/>
    </row>
    <row r="1400" spans="1:5" ht="15">
      <c r="A1400" s="197"/>
      <c r="E1400" s="196"/>
    </row>
    <row r="1401" spans="1:5" ht="15">
      <c r="A1401" s="197"/>
      <c r="E1401" s="196"/>
    </row>
    <row r="1402" spans="1:5" ht="15">
      <c r="A1402" s="197"/>
      <c r="E1402" s="196"/>
    </row>
    <row r="1403" spans="1:5" ht="15">
      <c r="A1403" s="197"/>
      <c r="E1403" s="196"/>
    </row>
    <row r="1404" spans="1:5" ht="15">
      <c r="A1404" s="197"/>
      <c r="E1404" s="196"/>
    </row>
    <row r="1405" spans="1:5" ht="15">
      <c r="A1405" s="197"/>
      <c r="E1405" s="196"/>
    </row>
    <row r="1406" spans="1:5" ht="15">
      <c r="A1406" s="197"/>
      <c r="E1406" s="196"/>
    </row>
    <row r="1407" spans="1:5" ht="15">
      <c r="A1407" s="197"/>
      <c r="E1407" s="196"/>
    </row>
    <row r="1408" spans="1:5" ht="15">
      <c r="A1408" s="197"/>
      <c r="E1408" s="196"/>
    </row>
    <row r="1409" spans="1:5" ht="15">
      <c r="A1409" s="197"/>
      <c r="E1409" s="196"/>
    </row>
    <row r="1410" spans="1:5" ht="15">
      <c r="A1410" s="197"/>
      <c r="E1410" s="196"/>
    </row>
    <row r="1411" spans="1:5" ht="15">
      <c r="A1411" s="197"/>
      <c r="E1411" s="196"/>
    </row>
    <row r="1412" spans="1:5" ht="15">
      <c r="A1412" s="197"/>
      <c r="E1412" s="196"/>
    </row>
    <row r="1413" spans="1:5" ht="15">
      <c r="A1413" s="197"/>
      <c r="E1413" s="196"/>
    </row>
    <row r="1414" spans="1:5" ht="15">
      <c r="A1414" s="197"/>
      <c r="E1414" s="196"/>
    </row>
    <row r="1415" spans="1:5" ht="15">
      <c r="A1415" s="197"/>
      <c r="E1415" s="196"/>
    </row>
    <row r="1416" spans="1:5" ht="15">
      <c r="A1416" s="197"/>
      <c r="E1416" s="196"/>
    </row>
    <row r="1417" spans="1:5" ht="15">
      <c r="A1417" s="197"/>
      <c r="E1417" s="196"/>
    </row>
    <row r="1418" spans="1:5" ht="15">
      <c r="A1418" s="197"/>
      <c r="E1418" s="196"/>
    </row>
    <row r="1419" spans="1:5" ht="15">
      <c r="A1419" s="197"/>
      <c r="E1419" s="196"/>
    </row>
    <row r="1420" spans="1:5" ht="15">
      <c r="A1420" s="197"/>
      <c r="E1420" s="196"/>
    </row>
    <row r="1421" spans="1:5" ht="15">
      <c r="A1421" s="197"/>
      <c r="E1421" s="196"/>
    </row>
    <row r="1422" spans="1:5" ht="15">
      <c r="A1422" s="197"/>
      <c r="E1422" s="196"/>
    </row>
    <row r="1423" spans="1:5" ht="15">
      <c r="A1423" s="197"/>
      <c r="E1423" s="196"/>
    </row>
    <row r="1424" spans="1:5" ht="15">
      <c r="A1424" s="197"/>
      <c r="E1424" s="196"/>
    </row>
    <row r="1425" spans="1:5" ht="15">
      <c r="A1425" s="197"/>
      <c r="E1425" s="196"/>
    </row>
    <row r="1426" spans="1:5" ht="15">
      <c r="A1426" s="197"/>
      <c r="E1426" s="196"/>
    </row>
    <row r="1427" spans="1:5" ht="15">
      <c r="A1427" s="197"/>
      <c r="E1427" s="196"/>
    </row>
    <row r="1428" spans="1:5" ht="15">
      <c r="A1428" s="197"/>
      <c r="E1428" s="196"/>
    </row>
    <row r="1429" spans="1:5" ht="15">
      <c r="A1429" s="197"/>
      <c r="E1429" s="196"/>
    </row>
    <row r="1430" spans="1:5" ht="15">
      <c r="A1430" s="197"/>
      <c r="E1430" s="196"/>
    </row>
    <row r="1431" spans="1:5" ht="15">
      <c r="A1431" s="197"/>
      <c r="E1431" s="196"/>
    </row>
    <row r="1432" spans="1:5" ht="15">
      <c r="A1432" s="197"/>
      <c r="E1432" s="196"/>
    </row>
    <row r="1433" spans="1:5" ht="15">
      <c r="A1433" s="197"/>
      <c r="E1433" s="196"/>
    </row>
    <row r="1434" spans="1:5" ht="15">
      <c r="A1434" s="197"/>
      <c r="E1434" s="196"/>
    </row>
    <row r="1435" spans="1:5" ht="15">
      <c r="A1435" s="197"/>
      <c r="E1435" s="196"/>
    </row>
    <row r="1436" spans="1:5" ht="15">
      <c r="A1436" s="197"/>
      <c r="E1436" s="196"/>
    </row>
    <row r="1437" spans="1:5" ht="15">
      <c r="A1437" s="197"/>
      <c r="E1437" s="196"/>
    </row>
    <row r="1438" spans="1:5" ht="15">
      <c r="A1438" s="197"/>
      <c r="E1438" s="196"/>
    </row>
    <row r="1439" spans="1:5" ht="15">
      <c r="A1439" s="197"/>
      <c r="E1439" s="196"/>
    </row>
    <row r="1440" spans="1:5" ht="15">
      <c r="A1440" s="197"/>
      <c r="E1440" s="196"/>
    </row>
    <row r="1441" spans="1:5" ht="15">
      <c r="A1441" s="197"/>
      <c r="E1441" s="196"/>
    </row>
    <row r="1442" spans="1:5" ht="15">
      <c r="A1442" s="197"/>
      <c r="E1442" s="196"/>
    </row>
    <row r="1443" spans="1:5" ht="15">
      <c r="A1443" s="197"/>
      <c r="E1443" s="196"/>
    </row>
    <row r="1444" spans="1:5" ht="15">
      <c r="A1444" s="197"/>
      <c r="E1444" s="196"/>
    </row>
    <row r="1445" spans="1:5" ht="15">
      <c r="A1445" s="197"/>
      <c r="E1445" s="196"/>
    </row>
    <row r="1446" spans="1:5" ht="15">
      <c r="A1446" s="197"/>
      <c r="E1446" s="196"/>
    </row>
    <row r="1447" spans="1:5" ht="15">
      <c r="A1447" s="197"/>
      <c r="E1447" s="196"/>
    </row>
    <row r="1448" spans="1:5" ht="15">
      <c r="A1448" s="197"/>
      <c r="E1448" s="196"/>
    </row>
    <row r="1449" spans="1:5" ht="15">
      <c r="A1449" s="197"/>
      <c r="E1449" s="196"/>
    </row>
    <row r="1450" spans="1:5" ht="15">
      <c r="A1450" s="197"/>
      <c r="E1450" s="196"/>
    </row>
    <row r="1451" spans="1:5" ht="15">
      <c r="A1451" s="197"/>
      <c r="E1451" s="196"/>
    </row>
    <row r="1452" spans="1:5" ht="15">
      <c r="A1452" s="197"/>
      <c r="E1452" s="196"/>
    </row>
    <row r="1453" spans="1:5" ht="15">
      <c r="A1453" s="197"/>
      <c r="E1453" s="196"/>
    </row>
    <row r="1454" spans="1:5" ht="15">
      <c r="A1454" s="197"/>
      <c r="E1454" s="196"/>
    </row>
    <row r="1455" spans="1:5" ht="15">
      <c r="A1455" s="197"/>
      <c r="E1455" s="196"/>
    </row>
    <row r="1456" spans="1:5" ht="15">
      <c r="A1456" s="197"/>
      <c r="E1456" s="196"/>
    </row>
    <row r="1457" spans="1:5" ht="15">
      <c r="A1457" s="197"/>
      <c r="E1457" s="196"/>
    </row>
    <row r="1458" spans="1:5" ht="15">
      <c r="A1458" s="197"/>
      <c r="E1458" s="196"/>
    </row>
    <row r="1459" spans="1:5" ht="15">
      <c r="A1459" s="197"/>
      <c r="E1459" s="196"/>
    </row>
    <row r="1460" spans="1:5" ht="15">
      <c r="A1460" s="197"/>
      <c r="E1460" s="196"/>
    </row>
    <row r="1461" spans="1:5" ht="15">
      <c r="A1461" s="197"/>
      <c r="E1461" s="196"/>
    </row>
    <row r="1462" spans="1:5" ht="15">
      <c r="A1462" s="197"/>
      <c r="E1462" s="196"/>
    </row>
    <row r="1463" spans="1:5" ht="15">
      <c r="A1463" s="197"/>
      <c r="E1463" s="196"/>
    </row>
    <row r="1464" spans="1:5" ht="15">
      <c r="A1464" s="197"/>
      <c r="E1464" s="196"/>
    </row>
    <row r="1465" spans="1:5" ht="15">
      <c r="A1465" s="197"/>
      <c r="E1465" s="196"/>
    </row>
    <row r="1466" spans="1:5" ht="15">
      <c r="A1466" s="197"/>
      <c r="E1466" s="196"/>
    </row>
    <row r="1467" spans="1:5" ht="15">
      <c r="A1467" s="197"/>
      <c r="E1467" s="196"/>
    </row>
    <row r="1468" spans="1:5" ht="15">
      <c r="A1468" s="197"/>
      <c r="E1468" s="196"/>
    </row>
    <row r="1469" spans="1:5" ht="15">
      <c r="A1469" s="197"/>
      <c r="E1469" s="196"/>
    </row>
    <row r="1470" spans="1:5" ht="15">
      <c r="A1470" s="197"/>
      <c r="E1470" s="196"/>
    </row>
    <row r="1471" spans="1:5" ht="15">
      <c r="A1471" s="197"/>
      <c r="E1471" s="196"/>
    </row>
    <row r="1472" spans="1:5" ht="15">
      <c r="A1472" s="197"/>
      <c r="E1472" s="196"/>
    </row>
    <row r="1473" spans="1:5" ht="15">
      <c r="A1473" s="197"/>
      <c r="E1473" s="196"/>
    </row>
    <row r="1474" spans="1:5" ht="15">
      <c r="A1474" s="197"/>
      <c r="E1474" s="196"/>
    </row>
    <row r="1475" spans="1:5" ht="15">
      <c r="A1475" s="197"/>
      <c r="E1475" s="196"/>
    </row>
    <row r="1476" spans="1:5" ht="15">
      <c r="A1476" s="197"/>
      <c r="E1476" s="196"/>
    </row>
    <row r="1477" spans="1:5" ht="15">
      <c r="A1477" s="197"/>
      <c r="E1477" s="196"/>
    </row>
    <row r="1478" spans="1:5" ht="15">
      <c r="A1478" s="197"/>
      <c r="E1478" s="196"/>
    </row>
    <row r="1479" spans="1:5" ht="15">
      <c r="A1479" s="197"/>
      <c r="E1479" s="196"/>
    </row>
    <row r="1480" spans="1:5" ht="15">
      <c r="A1480" s="197"/>
      <c r="E1480" s="196"/>
    </row>
    <row r="1481" spans="1:5" ht="15">
      <c r="A1481" s="197"/>
      <c r="E1481" s="196"/>
    </row>
    <row r="1482" spans="1:5" ht="15">
      <c r="A1482" s="197"/>
      <c r="E1482" s="196"/>
    </row>
    <row r="1483" spans="1:5" ht="15">
      <c r="A1483" s="197"/>
      <c r="E1483" s="196"/>
    </row>
    <row r="1484" spans="1:5" ht="15">
      <c r="A1484" s="197"/>
      <c r="E1484" s="196"/>
    </row>
    <row r="1485" spans="1:5" ht="15">
      <c r="A1485" s="197"/>
      <c r="E1485" s="196"/>
    </row>
    <row r="1486" spans="1:5" ht="15">
      <c r="A1486" s="197"/>
      <c r="E1486" s="196"/>
    </row>
    <row r="1487" spans="1:5" ht="15">
      <c r="A1487" s="197"/>
      <c r="E1487" s="196"/>
    </row>
    <row r="1488" spans="1:5" ht="15">
      <c r="A1488" s="197"/>
      <c r="E1488" s="196"/>
    </row>
    <row r="1489" spans="1:5" ht="15">
      <c r="A1489" s="197"/>
      <c r="E1489" s="196"/>
    </row>
    <row r="1490" spans="1:5" ht="15">
      <c r="A1490" s="197"/>
      <c r="E1490" s="196"/>
    </row>
    <row r="1491" spans="1:5" ht="15">
      <c r="A1491" s="197"/>
      <c r="E1491" s="196"/>
    </row>
    <row r="1492" spans="1:5" ht="15">
      <c r="A1492" s="197"/>
      <c r="E1492" s="196"/>
    </row>
    <row r="1493" spans="1:5" ht="15">
      <c r="A1493" s="197"/>
      <c r="E1493" s="196"/>
    </row>
    <row r="1494" spans="1:5" ht="15">
      <c r="A1494" s="197"/>
      <c r="E1494" s="196"/>
    </row>
    <row r="1495" spans="1:5" ht="15">
      <c r="A1495" s="197"/>
      <c r="E1495" s="196"/>
    </row>
    <row r="1496" spans="1:5" ht="15">
      <c r="A1496" s="197"/>
      <c r="E1496" s="196"/>
    </row>
    <row r="1497" spans="1:5" ht="15">
      <c r="A1497" s="197"/>
      <c r="E1497" s="196"/>
    </row>
    <row r="1498" spans="1:5" ht="15">
      <c r="A1498" s="197"/>
      <c r="E1498" s="196"/>
    </row>
    <row r="1499" spans="1:5" ht="15">
      <c r="A1499" s="197"/>
      <c r="E1499" s="196"/>
    </row>
    <row r="1500" spans="1:5" ht="15">
      <c r="A1500" s="197"/>
      <c r="E1500" s="196"/>
    </row>
    <row r="1501" spans="1:5" ht="15">
      <c r="A1501" s="197"/>
      <c r="E1501" s="196"/>
    </row>
    <row r="1502" spans="1:5" ht="15">
      <c r="A1502" s="197"/>
      <c r="E1502" s="196"/>
    </row>
    <row r="1503" spans="1:5" ht="15">
      <c r="A1503" s="197"/>
      <c r="E1503" s="196"/>
    </row>
    <row r="1504" spans="1:5" ht="15">
      <c r="A1504" s="197"/>
      <c r="E1504" s="196"/>
    </row>
    <row r="1505" spans="1:5" ht="15">
      <c r="A1505" s="197"/>
      <c r="E1505" s="196"/>
    </row>
    <row r="1506" spans="1:5" ht="15">
      <c r="A1506" s="197"/>
      <c r="E1506" s="196"/>
    </row>
    <row r="1507" spans="1:5" ht="15">
      <c r="A1507" s="197"/>
      <c r="E1507" s="196"/>
    </row>
    <row r="1508" spans="1:5" ht="15">
      <c r="A1508" s="197"/>
      <c r="E1508" s="196"/>
    </row>
    <row r="1509" spans="1:5" ht="15">
      <c r="A1509" s="197"/>
      <c r="E1509" s="196"/>
    </row>
    <row r="1510" spans="1:5" ht="15">
      <c r="A1510" s="197"/>
      <c r="E1510" s="196"/>
    </row>
    <row r="1511" spans="1:5" ht="15">
      <c r="A1511" s="197"/>
      <c r="E1511" s="196"/>
    </row>
    <row r="1512" spans="1:5" ht="15">
      <c r="A1512" s="197"/>
      <c r="E1512" s="196"/>
    </row>
    <row r="1513" spans="1:5" ht="15">
      <c r="A1513" s="197"/>
      <c r="E1513" s="196"/>
    </row>
    <row r="1514" spans="1:5" ht="15">
      <c r="A1514" s="197"/>
      <c r="E1514" s="196"/>
    </row>
    <row r="1515" spans="1:5" ht="15">
      <c r="A1515" s="197"/>
      <c r="E1515" s="196"/>
    </row>
    <row r="1516" spans="1:5" ht="15">
      <c r="A1516" s="197"/>
      <c r="E1516" s="196"/>
    </row>
    <row r="1517" spans="1:5" ht="15">
      <c r="A1517" s="197"/>
      <c r="E1517" s="196"/>
    </row>
    <row r="1518" spans="1:5" ht="15">
      <c r="A1518" s="197"/>
      <c r="E1518" s="196"/>
    </row>
    <row r="1519" spans="1:5" ht="15">
      <c r="A1519" s="197"/>
    </row>
    <row r="1520" spans="1:5" ht="15">
      <c r="A1520" s="197"/>
    </row>
    <row r="1521" spans="1:1" ht="15">
      <c r="A1521" s="197"/>
    </row>
    <row r="1522" spans="1:1" ht="15">
      <c r="A1522" s="197"/>
    </row>
    <row r="1523" spans="1:1" ht="15">
      <c r="A1523" s="197"/>
    </row>
    <row r="1524" spans="1:1" ht="15">
      <c r="A1524" s="197"/>
    </row>
    <row r="1525" spans="1:1" ht="15">
      <c r="A1525" s="197"/>
    </row>
    <row r="1526" spans="1:1" ht="15">
      <c r="A1526" s="197"/>
    </row>
    <row r="1527" spans="1:1" ht="15">
      <c r="A1527" s="197"/>
    </row>
    <row r="1528" spans="1:1" ht="15">
      <c r="A1528" s="197"/>
    </row>
    <row r="1529" spans="1:1" ht="15">
      <c r="A1529" s="197"/>
    </row>
    <row r="1530" spans="1:1" ht="15">
      <c r="A1530" s="197"/>
    </row>
    <row r="1531" spans="1:1" ht="15">
      <c r="A1531" s="197"/>
    </row>
    <row r="1532" spans="1:1" ht="15">
      <c r="A1532" s="197"/>
    </row>
    <row r="1533" spans="1:1" ht="15">
      <c r="A1533" s="197"/>
    </row>
    <row r="1534" spans="1:1" ht="15">
      <c r="A1534" s="197"/>
    </row>
    <row r="1535" spans="1:1" ht="15">
      <c r="A1535" s="197"/>
    </row>
    <row r="1536" spans="1:1" ht="15">
      <c r="A1536" s="197"/>
    </row>
    <row r="1537" spans="1:1" ht="15">
      <c r="A1537" s="197"/>
    </row>
    <row r="1538" spans="1:1" ht="15">
      <c r="A1538" s="197"/>
    </row>
    <row r="1539" spans="1:1" ht="15">
      <c r="A1539" s="197"/>
    </row>
    <row r="1540" spans="1:1" ht="15">
      <c r="A1540" s="197"/>
    </row>
    <row r="1541" spans="1:1" ht="15">
      <c r="A1541" s="197"/>
    </row>
    <row r="1542" spans="1:1" ht="15">
      <c r="A1542" s="197"/>
    </row>
    <row r="1543" spans="1:1" ht="15">
      <c r="A1543" s="197"/>
    </row>
    <row r="1544" spans="1:1" ht="15">
      <c r="A1544" s="197"/>
    </row>
    <row r="1545" spans="1:1" ht="15">
      <c r="A1545" s="197"/>
    </row>
    <row r="1546" spans="1:1" ht="15">
      <c r="A1546" s="197"/>
    </row>
    <row r="1547" spans="1:1" ht="15">
      <c r="A1547" s="197"/>
    </row>
    <row r="1548" spans="1:1" ht="15">
      <c r="A1548" s="197"/>
    </row>
    <row r="1549" spans="1:1" ht="15">
      <c r="A1549" s="197"/>
    </row>
    <row r="1550" spans="1:1" ht="15">
      <c r="A1550" s="197"/>
    </row>
    <row r="1551" spans="1:1" ht="15">
      <c r="A1551" s="197"/>
    </row>
    <row r="1552" spans="1:1" ht="15">
      <c r="A1552" s="197"/>
    </row>
    <row r="1553" spans="1:1" ht="15">
      <c r="A1553" s="197"/>
    </row>
    <row r="1554" spans="1:1" ht="15">
      <c r="A1554" s="197"/>
    </row>
    <row r="1555" spans="1:1" ht="15">
      <c r="A1555" s="197"/>
    </row>
    <row r="1556" spans="1:1" ht="15">
      <c r="A1556" s="197"/>
    </row>
    <row r="1557" spans="1:1" ht="15">
      <c r="A1557" s="197"/>
    </row>
    <row r="1558" spans="1:1" ht="15">
      <c r="A1558" s="197"/>
    </row>
    <row r="1559" spans="1:1" ht="15">
      <c r="A1559" s="197"/>
    </row>
    <row r="1560" spans="1:1" ht="15">
      <c r="A1560" s="197"/>
    </row>
    <row r="1561" spans="1:1" ht="15">
      <c r="A1561" s="197"/>
    </row>
    <row r="1562" spans="1:1" ht="15">
      <c r="A1562" s="197"/>
    </row>
    <row r="1563" spans="1:1" ht="15">
      <c r="A1563" s="197"/>
    </row>
    <row r="1564" spans="1:1" ht="15">
      <c r="A1564" s="197"/>
    </row>
    <row r="1565" spans="1:1" ht="15">
      <c r="A1565" s="197"/>
    </row>
    <row r="1566" spans="1:1" ht="15">
      <c r="A1566" s="197"/>
    </row>
    <row r="1567" spans="1:1" ht="15">
      <c r="A1567" s="197"/>
    </row>
    <row r="1568" spans="1:1" ht="15">
      <c r="A1568" s="197"/>
    </row>
    <row r="1569" spans="1:1" ht="15">
      <c r="A1569" s="197"/>
    </row>
    <row r="1570" spans="1:1" ht="15">
      <c r="A1570" s="197"/>
    </row>
    <row r="1571" spans="1:1" ht="15">
      <c r="A1571" s="197"/>
    </row>
    <row r="1572" spans="1:1" ht="15">
      <c r="A1572" s="197"/>
    </row>
    <row r="1573" spans="1:1" ht="15">
      <c r="A1573" s="197"/>
    </row>
    <row r="1574" spans="1:1" ht="15">
      <c r="A1574" s="197"/>
    </row>
    <row r="1575" spans="1:1" ht="15">
      <c r="A1575" s="197"/>
    </row>
    <row r="1576" spans="1:1" ht="15">
      <c r="A1576" s="197"/>
    </row>
    <row r="1577" spans="1:1" ht="15">
      <c r="A1577" s="197"/>
    </row>
    <row r="1578" spans="1:1" ht="15">
      <c r="A1578" s="197"/>
    </row>
    <row r="1579" spans="1:1" ht="15">
      <c r="A1579" s="197"/>
    </row>
    <row r="1580" spans="1:1" ht="15">
      <c r="A1580" s="197"/>
    </row>
    <row r="1581" spans="1:1" ht="15">
      <c r="A1581" s="197"/>
    </row>
    <row r="1582" spans="1:1" ht="15">
      <c r="A1582" s="197"/>
    </row>
    <row r="1583" spans="1:1" ht="15">
      <c r="A1583" s="197"/>
    </row>
    <row r="1584" spans="1:1" ht="15">
      <c r="A1584" s="197"/>
    </row>
    <row r="1585" spans="1:1" ht="15">
      <c r="A1585" s="197"/>
    </row>
    <row r="1586" spans="1:1" ht="15">
      <c r="A1586" s="197"/>
    </row>
    <row r="1587" spans="1:1" ht="15">
      <c r="A1587" s="197"/>
    </row>
    <row r="1588" spans="1:1" ht="15">
      <c r="A1588" s="197"/>
    </row>
    <row r="1589" spans="1:1" ht="15">
      <c r="A1589" s="197"/>
    </row>
    <row r="1590" spans="1:1" ht="15">
      <c r="A1590" s="197"/>
    </row>
    <row r="1591" spans="1:1" ht="15">
      <c r="A1591" s="197"/>
    </row>
    <row r="1592" spans="1:1" ht="15">
      <c r="A1592" s="197"/>
    </row>
    <row r="1593" spans="1:1" ht="15">
      <c r="A1593" s="197"/>
    </row>
    <row r="1594" spans="1:1" ht="15">
      <c r="A1594" s="197"/>
    </row>
    <row r="1595" spans="1:1" ht="15">
      <c r="A1595" s="197"/>
    </row>
    <row r="1596" spans="1:1" ht="15">
      <c r="A1596" s="197"/>
    </row>
    <row r="1597" spans="1:1" ht="15">
      <c r="A1597" s="197"/>
    </row>
    <row r="1598" spans="1:1" ht="15">
      <c r="A1598" s="197"/>
    </row>
    <row r="1599" spans="1:1" ht="15">
      <c r="A1599" s="197"/>
    </row>
    <row r="1600" spans="1:1" ht="15">
      <c r="A1600" s="197"/>
    </row>
    <row r="1601" spans="1:1" ht="15">
      <c r="A1601" s="197"/>
    </row>
    <row r="1602" spans="1:1" ht="15">
      <c r="A1602" s="197"/>
    </row>
    <row r="1603" spans="1:1" ht="15">
      <c r="A1603" s="197"/>
    </row>
    <row r="1604" spans="1:1" ht="15">
      <c r="A1604" s="197"/>
    </row>
    <row r="1605" spans="1:1" ht="15">
      <c r="A1605" s="197"/>
    </row>
    <row r="1606" spans="1:1" ht="15">
      <c r="A1606" s="197"/>
    </row>
    <row r="1607" spans="1:1" ht="15">
      <c r="A1607" s="197"/>
    </row>
    <row r="1608" spans="1:1" ht="15">
      <c r="A1608" s="197"/>
    </row>
    <row r="1609" spans="1:1" ht="15">
      <c r="A1609" s="197"/>
    </row>
    <row r="1610" spans="1:1" ht="15">
      <c r="A1610" s="197"/>
    </row>
    <row r="1611" spans="1:1" ht="15">
      <c r="A1611" s="197"/>
    </row>
    <row r="1612" spans="1:1" ht="15">
      <c r="A1612" s="197"/>
    </row>
    <row r="1613" spans="1:1" ht="15">
      <c r="A1613" s="197"/>
    </row>
    <row r="1614" spans="1:1" ht="15">
      <c r="A1614" s="197"/>
    </row>
    <row r="1615" spans="1:1" ht="15">
      <c r="A1615" s="197"/>
    </row>
    <row r="1616" spans="1:1" ht="15">
      <c r="A1616" s="197"/>
    </row>
    <row r="1617" spans="1:1" ht="15">
      <c r="A1617" s="197"/>
    </row>
    <row r="1618" spans="1:1" ht="15">
      <c r="A1618" s="197"/>
    </row>
    <row r="1619" spans="1:1" ht="15">
      <c r="A1619" s="197"/>
    </row>
    <row r="1620" spans="1:1" ht="15">
      <c r="A1620" s="197"/>
    </row>
    <row r="1621" spans="1:1" ht="15">
      <c r="A1621" s="197"/>
    </row>
    <row r="1622" spans="1:1" ht="15">
      <c r="A1622" s="197"/>
    </row>
    <row r="1623" spans="1:1" ht="15">
      <c r="A1623" s="197"/>
    </row>
    <row r="1624" spans="1:1" ht="15">
      <c r="A1624" s="197"/>
    </row>
    <row r="1625" spans="1:1" ht="15">
      <c r="A1625" s="197"/>
    </row>
    <row r="1626" spans="1:1" ht="15">
      <c r="A1626" s="197"/>
    </row>
    <row r="1627" spans="1:1" ht="15">
      <c r="A1627" s="197"/>
    </row>
    <row r="1628" spans="1:1" ht="15">
      <c r="A1628" s="197"/>
    </row>
    <row r="1629" spans="1:1" ht="15">
      <c r="A1629" s="197"/>
    </row>
    <row r="1630" spans="1:1" ht="15">
      <c r="A1630" s="197"/>
    </row>
    <row r="1631" spans="1:1" ht="15">
      <c r="A1631" s="197"/>
    </row>
    <row r="1632" spans="1:1" ht="15">
      <c r="A1632" s="197"/>
    </row>
    <row r="1633" spans="1:1" ht="15">
      <c r="A1633" s="197"/>
    </row>
    <row r="1634" spans="1:1" ht="15">
      <c r="A1634" s="197"/>
    </row>
    <row r="1635" spans="1:1" ht="15">
      <c r="A1635" s="197"/>
    </row>
    <row r="1636" spans="1:1" ht="15">
      <c r="A1636" s="197"/>
    </row>
    <row r="1637" spans="1:1" ht="15">
      <c r="A1637" s="197"/>
    </row>
    <row r="1638" spans="1:1" ht="15">
      <c r="A1638" s="197"/>
    </row>
    <row r="1639" spans="1:1" ht="15">
      <c r="A1639" s="197"/>
    </row>
    <row r="1640" spans="1:1" ht="15">
      <c r="A1640" s="197"/>
    </row>
    <row r="1641" spans="1:1" ht="15">
      <c r="A1641" s="197"/>
    </row>
    <row r="1642" spans="1:1" ht="15">
      <c r="A1642" s="197"/>
    </row>
    <row r="1643" spans="1:1" ht="15">
      <c r="A1643" s="197"/>
    </row>
    <row r="1644" spans="1:1" ht="15">
      <c r="A1644" s="197"/>
    </row>
    <row r="1645" spans="1:1" ht="15">
      <c r="A1645" s="197"/>
    </row>
    <row r="1646" spans="1:1" ht="15">
      <c r="A1646" s="197"/>
    </row>
    <row r="1647" spans="1:1" ht="15">
      <c r="A1647" s="197"/>
    </row>
    <row r="1648" spans="1:1" ht="15">
      <c r="A1648" s="197"/>
    </row>
    <row r="1649" spans="1:1" ht="15">
      <c r="A1649" s="197"/>
    </row>
    <row r="1650" spans="1:1" ht="15">
      <c r="A1650" s="197"/>
    </row>
    <row r="1651" spans="1:1" ht="15">
      <c r="A1651" s="197"/>
    </row>
    <row r="1652" spans="1:1" ht="15">
      <c r="A1652" s="197"/>
    </row>
    <row r="1653" spans="1:1" ht="15">
      <c r="A1653" s="197"/>
    </row>
    <row r="1654" spans="1:1" ht="15">
      <c r="A1654" s="197"/>
    </row>
    <row r="1655" spans="1:1" ht="15">
      <c r="A1655" s="197"/>
    </row>
    <row r="1656" spans="1:1" ht="15">
      <c r="A1656" s="197"/>
    </row>
    <row r="1657" spans="1:1" ht="15">
      <c r="A1657" s="197"/>
    </row>
    <row r="1658" spans="1:1" ht="15">
      <c r="A1658" s="197"/>
    </row>
    <row r="1659" spans="1:1" ht="15">
      <c r="A1659" s="197"/>
    </row>
    <row r="1660" spans="1:1" ht="15">
      <c r="A1660" s="197"/>
    </row>
    <row r="1661" spans="1:1" ht="15">
      <c r="A1661" s="197"/>
    </row>
    <row r="1662" spans="1:1" ht="15">
      <c r="A1662" s="197"/>
    </row>
    <row r="1663" spans="1:1" ht="15">
      <c r="A1663" s="197"/>
    </row>
    <row r="1664" spans="1:1" ht="15">
      <c r="A1664" s="197"/>
    </row>
    <row r="1665" spans="1:1" ht="15">
      <c r="A1665" s="197"/>
    </row>
    <row r="1666" spans="1:1" ht="15">
      <c r="A1666" s="197"/>
    </row>
    <row r="1667" spans="1:1" ht="15">
      <c r="A1667" s="197"/>
    </row>
    <row r="1668" spans="1:1" ht="15">
      <c r="A1668" s="197"/>
    </row>
    <row r="1669" spans="1:1" ht="15">
      <c r="A1669" s="197"/>
    </row>
    <row r="1670" spans="1:1" ht="15">
      <c r="A1670" s="197"/>
    </row>
    <row r="1671" spans="1:1" ht="15">
      <c r="A1671" s="197"/>
    </row>
    <row r="1672" spans="1:1" ht="15">
      <c r="A1672" s="197"/>
    </row>
    <row r="1673" spans="1:1" ht="15">
      <c r="A1673" s="197"/>
    </row>
    <row r="1674" spans="1:1" ht="15">
      <c r="A1674" s="197"/>
    </row>
    <row r="1675" spans="1:1" ht="15">
      <c r="A1675" s="197"/>
    </row>
    <row r="1676" spans="1:1" ht="15">
      <c r="A1676" s="197"/>
    </row>
    <row r="1677" spans="1:1" ht="15">
      <c r="A1677" s="197"/>
    </row>
    <row r="1678" spans="1:1" ht="15">
      <c r="A1678" s="197"/>
    </row>
    <row r="1679" spans="1:1" ht="15">
      <c r="A1679" s="197"/>
    </row>
    <row r="1680" spans="1:1" ht="15">
      <c r="A1680" s="197"/>
    </row>
    <row r="1681" spans="1:1" ht="15">
      <c r="A1681" s="197"/>
    </row>
    <row r="1682" spans="1:1" ht="15">
      <c r="A1682" s="197"/>
    </row>
    <row r="1683" spans="1:1" ht="15">
      <c r="A1683" s="197"/>
    </row>
    <row r="1684" spans="1:1" ht="15">
      <c r="A1684" s="197"/>
    </row>
    <row r="1685" spans="1:1" ht="15">
      <c r="A1685" s="197"/>
    </row>
    <row r="1686" spans="1:1" ht="15">
      <c r="A1686" s="197"/>
    </row>
    <row r="1687" spans="1:1" ht="15">
      <c r="A1687" s="197"/>
    </row>
    <row r="1688" spans="1:1" ht="15">
      <c r="A1688" s="197"/>
    </row>
    <row r="1689" spans="1:1" ht="15">
      <c r="A1689" s="197"/>
    </row>
    <row r="1690" spans="1:1" ht="15">
      <c r="A1690" s="197"/>
    </row>
    <row r="1691" spans="1:1" ht="15">
      <c r="A1691" s="197"/>
    </row>
    <row r="1692" spans="1:1" ht="15">
      <c r="A1692" s="197"/>
    </row>
    <row r="1693" spans="1:1" ht="15">
      <c r="A1693" s="197"/>
    </row>
    <row r="1694" spans="1:1" ht="15">
      <c r="A1694" s="197"/>
    </row>
    <row r="1695" spans="1:1" ht="15">
      <c r="A1695" s="197"/>
    </row>
    <row r="1696" spans="1:1" ht="15">
      <c r="A1696" s="197"/>
    </row>
    <row r="1697" spans="1:1" ht="15">
      <c r="A1697" s="197"/>
    </row>
    <row r="1698" spans="1:1" ht="15">
      <c r="A1698" s="197"/>
    </row>
    <row r="1699" spans="1:1" ht="15">
      <c r="A1699" s="197"/>
    </row>
    <row r="1700" spans="1:1" ht="15">
      <c r="A1700" s="197"/>
    </row>
    <row r="1701" spans="1:1" ht="15">
      <c r="A1701" s="197"/>
    </row>
    <row r="1702" spans="1:1" ht="15">
      <c r="A1702" s="197"/>
    </row>
    <row r="1703" spans="1:1" ht="15">
      <c r="A1703" s="197"/>
    </row>
    <row r="1704" spans="1:1" ht="15">
      <c r="A1704" s="197"/>
    </row>
    <row r="1705" spans="1:1" ht="15">
      <c r="A1705" s="197"/>
    </row>
    <row r="1706" spans="1:1" ht="15">
      <c r="A1706" s="197"/>
    </row>
    <row r="1707" spans="1:1" ht="15">
      <c r="A1707" s="197"/>
    </row>
    <row r="1708" spans="1:1" ht="15">
      <c r="A1708" s="197"/>
    </row>
    <row r="1709" spans="1:1" ht="15">
      <c r="A1709" s="197"/>
    </row>
    <row r="1710" spans="1:1" ht="15">
      <c r="A1710" s="197"/>
    </row>
    <row r="1711" spans="1:1" ht="15">
      <c r="A1711" s="197"/>
    </row>
    <row r="1712" spans="1:1" ht="15">
      <c r="A1712" s="197"/>
    </row>
    <row r="1713" spans="1:1" ht="15">
      <c r="A1713" s="197"/>
    </row>
    <row r="1714" spans="1:1" ht="15">
      <c r="A1714" s="197"/>
    </row>
    <row r="1715" spans="1:1" ht="15">
      <c r="A1715" s="197"/>
    </row>
    <row r="1716" spans="1:1" ht="15">
      <c r="A1716" s="197"/>
    </row>
    <row r="1717" spans="1:1" ht="15">
      <c r="A1717" s="197"/>
    </row>
    <row r="1718" spans="1:1" ht="15">
      <c r="A1718" s="197"/>
    </row>
    <row r="1719" spans="1:1" ht="15">
      <c r="A1719" s="197"/>
    </row>
    <row r="1720" spans="1:1" ht="15">
      <c r="A1720" s="197"/>
    </row>
    <row r="1721" spans="1:1" ht="15">
      <c r="A1721" s="197"/>
    </row>
    <row r="1722" spans="1:1" ht="15">
      <c r="A1722" s="197"/>
    </row>
    <row r="1723" spans="1:1" ht="15">
      <c r="A1723" s="197"/>
    </row>
    <row r="1724" spans="1:1" ht="15">
      <c r="A1724" s="197"/>
    </row>
    <row r="1725" spans="1:1" ht="15">
      <c r="A1725" s="197"/>
    </row>
    <row r="1726" spans="1:1" ht="15">
      <c r="A1726" s="197"/>
    </row>
    <row r="1727" spans="1:1" ht="15">
      <c r="A1727" s="197"/>
    </row>
    <row r="1728" spans="1:1" ht="15">
      <c r="A1728" s="197"/>
    </row>
    <row r="1729" spans="1:1" ht="15">
      <c r="A1729" s="197"/>
    </row>
    <row r="1730" spans="1:1" ht="15">
      <c r="A1730" s="197"/>
    </row>
    <row r="1731" spans="1:1" ht="15">
      <c r="A1731" s="197"/>
    </row>
    <row r="1732" spans="1:1" ht="15">
      <c r="A1732" s="197"/>
    </row>
    <row r="1733" spans="1:1" ht="15">
      <c r="A1733" s="197"/>
    </row>
    <row r="1734" spans="1:1" ht="15">
      <c r="A1734" s="197"/>
    </row>
    <row r="1735" spans="1:1" ht="15">
      <c r="A1735" s="197"/>
    </row>
    <row r="1736" spans="1:1" ht="15">
      <c r="A1736" s="197"/>
    </row>
    <row r="1737" spans="1:1" ht="15">
      <c r="A1737" s="197"/>
    </row>
    <row r="1738" spans="1:1" ht="15">
      <c r="A1738" s="197"/>
    </row>
    <row r="1739" spans="1:1" ht="15">
      <c r="A1739" s="197"/>
    </row>
    <row r="1740" spans="1:1" ht="15">
      <c r="A1740" s="197"/>
    </row>
    <row r="1741" spans="1:1" ht="15">
      <c r="A1741" s="197"/>
    </row>
    <row r="1742" spans="1:1" ht="15">
      <c r="A1742" s="197"/>
    </row>
    <row r="1743" spans="1:1" ht="15">
      <c r="A1743" s="197"/>
    </row>
    <row r="1744" spans="1:1" ht="15">
      <c r="A1744" s="197"/>
    </row>
    <row r="1745" spans="1:1" ht="15">
      <c r="A1745" s="197"/>
    </row>
    <row r="1746" spans="1:1" ht="15">
      <c r="A1746" s="197"/>
    </row>
    <row r="1747" spans="1:1" ht="15">
      <c r="A1747" s="197"/>
    </row>
    <row r="1748" spans="1:1" ht="15">
      <c r="A1748" s="197"/>
    </row>
    <row r="1749" spans="1:1" ht="15">
      <c r="A1749" s="197"/>
    </row>
    <row r="1750" spans="1:1" ht="15">
      <c r="A1750" s="197"/>
    </row>
    <row r="1751" spans="1:1" ht="15">
      <c r="A1751" s="197"/>
    </row>
    <row r="1752" spans="1:1" ht="15">
      <c r="A1752" s="197"/>
    </row>
    <row r="1753" spans="1:1" ht="15">
      <c r="A1753" s="197"/>
    </row>
    <row r="1754" spans="1:1" ht="15">
      <c r="A1754" s="197"/>
    </row>
    <row r="1755" spans="1:1" ht="15">
      <c r="A1755" s="197"/>
    </row>
    <row r="1756" spans="1:1" ht="15">
      <c r="A1756" s="197"/>
    </row>
    <row r="1757" spans="1:1" ht="15">
      <c r="A1757" s="197"/>
    </row>
    <row r="1758" spans="1:1" ht="15">
      <c r="A1758" s="197"/>
    </row>
    <row r="1759" spans="1:1" ht="15">
      <c r="A1759" s="197"/>
    </row>
    <row r="1760" spans="1:1" ht="15">
      <c r="A1760" s="197"/>
    </row>
    <row r="1761" spans="1:1" ht="15">
      <c r="A1761" s="197"/>
    </row>
    <row r="1762" spans="1:1" ht="15">
      <c r="A1762" s="197"/>
    </row>
    <row r="1763" spans="1:1" ht="15">
      <c r="A1763" s="197"/>
    </row>
    <row r="1764" spans="1:1" ht="15">
      <c r="A1764" s="197"/>
    </row>
    <row r="1765" spans="1:1" ht="15">
      <c r="A1765" s="197"/>
    </row>
    <row r="1766" spans="1:1" ht="15">
      <c r="A1766" s="197"/>
    </row>
    <row r="1767" spans="1:1" ht="15">
      <c r="A1767" s="197"/>
    </row>
    <row r="1768" spans="1:1" ht="15">
      <c r="A1768" s="197"/>
    </row>
    <row r="1769" spans="1:1" ht="15">
      <c r="A1769" s="197"/>
    </row>
    <row r="1770" spans="1:1" ht="15">
      <c r="A1770" s="197"/>
    </row>
    <row r="1771" spans="1:1" ht="15">
      <c r="A1771" s="197"/>
    </row>
    <row r="1772" spans="1:1" ht="15">
      <c r="A1772" s="197"/>
    </row>
    <row r="1773" spans="1:1" ht="15">
      <c r="A1773" s="197"/>
    </row>
    <row r="1774" spans="1:1" ht="15">
      <c r="A1774" s="197"/>
    </row>
    <row r="1775" spans="1:1" ht="15">
      <c r="A1775" s="197"/>
    </row>
    <row r="1776" spans="1:1" ht="15">
      <c r="A1776" s="197"/>
    </row>
    <row r="1777" spans="1:1" ht="15">
      <c r="A1777" s="197"/>
    </row>
    <row r="1778" spans="1:1" ht="15">
      <c r="A1778" s="197"/>
    </row>
    <row r="1779" spans="1:1" ht="15">
      <c r="A1779" s="197"/>
    </row>
    <row r="1780" spans="1:1" ht="15">
      <c r="A1780" s="197"/>
    </row>
    <row r="1781" spans="1:1" ht="15">
      <c r="A1781" s="197"/>
    </row>
    <row r="1782" spans="1:1" ht="15">
      <c r="A1782" s="197"/>
    </row>
    <row r="1783" spans="1:1" ht="15">
      <c r="A1783" s="197"/>
    </row>
    <row r="1784" spans="1:1" ht="15">
      <c r="A1784" s="197"/>
    </row>
    <row r="1785" spans="1:1" ht="15">
      <c r="A1785" s="197"/>
    </row>
    <row r="1786" spans="1:1" ht="15">
      <c r="A1786" s="197"/>
    </row>
    <row r="1787" spans="1:1" ht="15">
      <c r="A1787" s="197"/>
    </row>
    <row r="1788" spans="1:1" ht="15">
      <c r="A1788" s="197"/>
    </row>
    <row r="1789" spans="1:1" ht="15">
      <c r="A1789" s="197"/>
    </row>
    <row r="1790" spans="1:1" ht="15">
      <c r="A1790" s="197"/>
    </row>
    <row r="1791" spans="1:1" ht="15">
      <c r="A1791" s="197"/>
    </row>
    <row r="1792" spans="1:1" ht="15">
      <c r="A1792" s="197"/>
    </row>
    <row r="1793" spans="1:1" ht="15">
      <c r="A1793" s="197"/>
    </row>
    <row r="1794" spans="1:1" ht="15">
      <c r="A1794" s="197"/>
    </row>
    <row r="1795" spans="1:1" ht="15">
      <c r="A1795" s="197"/>
    </row>
    <row r="1796" spans="1:1" ht="15">
      <c r="A1796" s="197"/>
    </row>
    <row r="1797" spans="1:1" ht="15">
      <c r="A1797" s="197"/>
    </row>
    <row r="1798" spans="1:1" ht="15">
      <c r="A1798" s="197"/>
    </row>
    <row r="1799" spans="1:1" ht="15">
      <c r="A1799" s="197"/>
    </row>
    <row r="1800" spans="1:1" ht="15">
      <c r="A1800" s="197"/>
    </row>
    <row r="1801" spans="1:1" ht="15">
      <c r="A1801" s="197"/>
    </row>
    <row r="1802" spans="1:1" ht="15">
      <c r="A1802" s="197"/>
    </row>
    <row r="1803" spans="1:1" ht="15">
      <c r="A1803" s="197"/>
    </row>
    <row r="1804" spans="1:1" ht="15">
      <c r="A1804" s="197"/>
    </row>
    <row r="1805" spans="1:1" ht="15">
      <c r="A1805" s="197"/>
    </row>
    <row r="1806" spans="1:1" ht="15">
      <c r="A1806" s="197"/>
    </row>
    <row r="1807" spans="1:1" ht="15">
      <c r="A1807" s="197"/>
    </row>
    <row r="1808" spans="1:1" ht="15">
      <c r="A1808" s="197"/>
    </row>
    <row r="1809" spans="1:1" ht="15">
      <c r="A1809" s="197"/>
    </row>
    <row r="1810" spans="1:1" ht="15">
      <c r="A1810" s="197"/>
    </row>
    <row r="1811" spans="1:1" ht="15">
      <c r="A1811" s="197"/>
    </row>
    <row r="1812" spans="1:1" ht="15">
      <c r="A1812" s="197"/>
    </row>
    <row r="1813" spans="1:1" ht="15">
      <c r="A1813" s="197"/>
    </row>
    <row r="1814" spans="1:1" ht="15">
      <c r="A1814" s="197"/>
    </row>
    <row r="1815" spans="1:1" ht="15">
      <c r="A1815" s="197"/>
    </row>
    <row r="1816" spans="1:1" ht="15">
      <c r="A1816" s="197"/>
    </row>
    <row r="1817" spans="1:1" ht="15">
      <c r="A1817" s="197"/>
    </row>
    <row r="1818" spans="1:1" ht="15">
      <c r="A1818" s="197"/>
    </row>
    <row r="1819" spans="1:1" ht="15">
      <c r="A1819" s="197"/>
    </row>
    <row r="1820" spans="1:1" ht="15">
      <c r="A1820" s="197"/>
    </row>
    <row r="1821" spans="1:1" ht="15">
      <c r="A1821" s="197"/>
    </row>
    <row r="1822" spans="1:1" ht="15">
      <c r="A1822" s="197"/>
    </row>
    <row r="1823" spans="1:1" ht="15">
      <c r="A1823" s="197"/>
    </row>
    <row r="1824" spans="1:1" ht="15">
      <c r="A1824" s="197"/>
    </row>
    <row r="1825" spans="1:1" ht="15">
      <c r="A1825" s="197"/>
    </row>
    <row r="1826" spans="1:1" ht="15">
      <c r="A1826" s="197"/>
    </row>
    <row r="1827" spans="1:1" ht="15">
      <c r="A1827" s="197"/>
    </row>
    <row r="1828" spans="1:1" ht="15">
      <c r="A1828" s="197"/>
    </row>
    <row r="1829" spans="1:1" ht="15">
      <c r="A1829" s="197"/>
    </row>
    <row r="1830" spans="1:1" ht="15">
      <c r="A1830" s="197"/>
    </row>
    <row r="1831" spans="1:1" ht="15">
      <c r="A1831" s="197"/>
    </row>
    <row r="1832" spans="1:1" ht="15">
      <c r="A1832" s="197"/>
    </row>
    <row r="1833" spans="1:1" ht="15">
      <c r="A1833" s="197"/>
    </row>
    <row r="1834" spans="1:1" ht="15">
      <c r="A1834" s="197"/>
    </row>
    <row r="1835" spans="1:1" ht="15">
      <c r="A1835" s="197"/>
    </row>
    <row r="1836" spans="1:1" ht="15">
      <c r="A1836" s="197"/>
    </row>
    <row r="1837" spans="1:1" ht="15">
      <c r="A1837" s="197"/>
    </row>
    <row r="1838" spans="1:1" ht="15">
      <c r="A1838" s="197"/>
    </row>
    <row r="1839" spans="1:1" ht="15">
      <c r="A1839" s="197"/>
    </row>
    <row r="1840" spans="1:1" ht="15">
      <c r="A1840" s="197"/>
    </row>
    <row r="1841" spans="1:1" ht="15">
      <c r="A1841" s="197"/>
    </row>
    <row r="1842" spans="1:1" ht="15">
      <c r="A1842" s="197"/>
    </row>
    <row r="1843" spans="1:1" ht="15">
      <c r="A1843" s="197"/>
    </row>
    <row r="1844" spans="1:1" ht="15">
      <c r="A1844" s="197"/>
    </row>
    <row r="1845" spans="1:1" ht="15">
      <c r="A1845" s="197"/>
    </row>
    <row r="1846" spans="1:1" ht="15">
      <c r="A1846" s="197"/>
    </row>
    <row r="1847" spans="1:1" ht="15">
      <c r="A1847" s="197"/>
    </row>
    <row r="1848" spans="1:1" ht="15">
      <c r="A1848" s="197"/>
    </row>
    <row r="1849" spans="1:1" ht="15">
      <c r="A1849" s="197"/>
    </row>
    <row r="1850" spans="1:1" ht="15">
      <c r="A1850" s="197"/>
    </row>
    <row r="1851" spans="1:1" ht="15">
      <c r="A1851" s="197"/>
    </row>
    <row r="1852" spans="1:1" ht="15">
      <c r="A1852" s="197"/>
    </row>
    <row r="1853" spans="1:1" ht="15">
      <c r="A1853" s="197"/>
    </row>
    <row r="1854" spans="1:1" ht="15">
      <c r="A1854" s="197"/>
    </row>
    <row r="1855" spans="1:1" ht="15">
      <c r="A1855" s="197"/>
    </row>
  </sheetData>
  <mergeCells count="1">
    <mergeCell ref="H1:P1"/>
  </mergeCell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D336F-345D-4590-AD78-C7A71B9B943D}">
  <sheetPr codeName="Sheet2"/>
  <dimension ref="A1:M220"/>
  <sheetViews>
    <sheetView showGridLines="0" zoomScale="110" zoomScaleNormal="110" workbookViewId="0">
      <pane ySplit="1" topLeftCell="A2" activePane="bottomLeft" state="frozen"/>
      <selection activeCell="P98" sqref="P98"/>
      <selection pane="bottomLeft"/>
    </sheetView>
  </sheetViews>
  <sheetFormatPr defaultColWidth="0" defaultRowHeight="15" zeroHeight="1"/>
  <cols>
    <col min="1" max="1" width="7.140625" style="103" bestFit="1" customWidth="1"/>
    <col min="2" max="2" width="8.7109375" style="103" bestFit="1" customWidth="1"/>
    <col min="3" max="3" width="11.28515625" style="103" bestFit="1" customWidth="1"/>
    <col min="4" max="4" width="35.140625" style="103" bestFit="1" customWidth="1"/>
    <col min="5" max="5" width="17.7109375" style="103" bestFit="1" customWidth="1"/>
    <col min="6" max="6" width="21.28515625" style="103" bestFit="1" customWidth="1"/>
    <col min="7" max="7" width="12.42578125" style="103" bestFit="1" customWidth="1"/>
    <col min="8" max="8" width="20" style="103" bestFit="1" customWidth="1"/>
    <col min="9" max="9" width="23.7109375" style="103" bestFit="1" customWidth="1"/>
    <col min="10" max="10" width="21.140625" style="103" bestFit="1" customWidth="1"/>
    <col min="11" max="11" width="40.140625" style="103" bestFit="1" customWidth="1"/>
    <col min="12" max="12" width="11.42578125" style="104" bestFit="1" customWidth="1"/>
    <col min="13" max="13" width="11" style="104" bestFit="1" customWidth="1"/>
    <col min="14" max="16384" width="9.140625" style="103" hidden="1"/>
  </cols>
  <sheetData>
    <row r="1" spans="1:13" ht="15.75">
      <c r="A1" s="101" t="s">
        <v>56</v>
      </c>
      <c r="B1" s="101" t="s">
        <v>641</v>
      </c>
      <c r="C1" s="101" t="s">
        <v>642</v>
      </c>
      <c r="D1" s="101" t="s">
        <v>643</v>
      </c>
      <c r="E1" s="101" t="s">
        <v>644</v>
      </c>
      <c r="F1" s="101" t="s">
        <v>645</v>
      </c>
      <c r="G1" s="101" t="s">
        <v>646</v>
      </c>
      <c r="H1" s="101" t="s">
        <v>647</v>
      </c>
      <c r="I1" s="101" t="s">
        <v>648</v>
      </c>
      <c r="J1" s="101" t="s">
        <v>649</v>
      </c>
      <c r="K1" s="101" t="s">
        <v>650</v>
      </c>
      <c r="L1" s="102" t="s">
        <v>651</v>
      </c>
      <c r="M1" s="102" t="s">
        <v>652</v>
      </c>
    </row>
    <row r="2" spans="1:13">
      <c r="A2" s="103">
        <v>666907</v>
      </c>
      <c r="B2" s="103" t="s">
        <v>653</v>
      </c>
      <c r="C2" s="103">
        <v>1120561111</v>
      </c>
      <c r="D2" s="103" t="s">
        <v>654</v>
      </c>
      <c r="E2" s="103" t="s">
        <v>655</v>
      </c>
      <c r="F2" s="103" t="s">
        <v>656</v>
      </c>
      <c r="G2" s="103">
        <v>6084210016</v>
      </c>
      <c r="H2" s="103" t="s">
        <v>657</v>
      </c>
      <c r="I2" s="103" t="s">
        <v>278</v>
      </c>
      <c r="J2" s="103" t="s">
        <v>658</v>
      </c>
      <c r="K2" s="103" t="s">
        <v>318</v>
      </c>
      <c r="L2" s="104">
        <v>43843</v>
      </c>
      <c r="M2" s="104">
        <v>31840</v>
      </c>
    </row>
    <row r="3" spans="1:13">
      <c r="A3" s="103">
        <v>633208</v>
      </c>
      <c r="B3" s="103" t="s">
        <v>659</v>
      </c>
      <c r="C3" s="103">
        <v>1085921458</v>
      </c>
      <c r="D3" s="103" t="s">
        <v>660</v>
      </c>
      <c r="E3" s="103" t="s">
        <v>655</v>
      </c>
      <c r="F3" s="103" t="s">
        <v>661</v>
      </c>
      <c r="G3" s="103">
        <v>6082710712</v>
      </c>
      <c r="H3" s="103" t="s">
        <v>662</v>
      </c>
      <c r="I3" s="103" t="s">
        <v>406</v>
      </c>
      <c r="J3" s="103" t="s">
        <v>663</v>
      </c>
      <c r="K3" s="103" t="s">
        <v>392</v>
      </c>
      <c r="L3" s="104">
        <v>43192</v>
      </c>
      <c r="M3" s="104">
        <v>33244</v>
      </c>
    </row>
    <row r="4" spans="1:13">
      <c r="A4" s="103">
        <v>457682</v>
      </c>
      <c r="B4" s="103" t="s">
        <v>664</v>
      </c>
      <c r="C4" s="103">
        <v>1078246167</v>
      </c>
      <c r="D4" s="103" t="s">
        <v>665</v>
      </c>
      <c r="E4" s="103" t="s">
        <v>666</v>
      </c>
      <c r="F4" s="103" t="s">
        <v>667</v>
      </c>
      <c r="G4" s="103">
        <v>6082575700</v>
      </c>
      <c r="H4" s="103" t="s">
        <v>668</v>
      </c>
      <c r="I4" s="103" t="s">
        <v>406</v>
      </c>
      <c r="J4" s="103" t="s">
        <v>669</v>
      </c>
      <c r="K4" s="103" t="s">
        <v>446</v>
      </c>
      <c r="L4" s="104">
        <v>40220</v>
      </c>
      <c r="M4" s="104">
        <v>31902</v>
      </c>
    </row>
    <row r="5" spans="1:13">
      <c r="A5" s="103">
        <v>628390</v>
      </c>
      <c r="B5" s="103" t="s">
        <v>670</v>
      </c>
      <c r="C5" s="103">
        <v>6803930</v>
      </c>
      <c r="D5" s="103" t="s">
        <v>671</v>
      </c>
      <c r="E5" s="103" t="s">
        <v>655</v>
      </c>
      <c r="F5" s="103" t="s">
        <v>656</v>
      </c>
      <c r="G5" s="103">
        <v>6082710016</v>
      </c>
      <c r="H5" s="103" t="s">
        <v>662</v>
      </c>
      <c r="I5" s="103" t="s">
        <v>278</v>
      </c>
      <c r="J5" s="103" t="s">
        <v>658</v>
      </c>
      <c r="K5" s="103" t="s">
        <v>318</v>
      </c>
      <c r="L5" s="104">
        <v>43109</v>
      </c>
      <c r="M5" s="104">
        <v>30510</v>
      </c>
    </row>
    <row r="6" spans="1:13">
      <c r="A6" s="103">
        <v>114399</v>
      </c>
      <c r="B6" s="103" t="s">
        <v>672</v>
      </c>
      <c r="C6" s="103">
        <v>79004529</v>
      </c>
      <c r="D6" s="103" t="s">
        <v>673</v>
      </c>
      <c r="E6" s="103" t="s">
        <v>666</v>
      </c>
      <c r="F6" s="103" t="s">
        <v>667</v>
      </c>
      <c r="G6" s="103">
        <v>6082810016</v>
      </c>
      <c r="H6" s="103" t="s">
        <v>674</v>
      </c>
      <c r="I6" s="103" t="s">
        <v>278</v>
      </c>
      <c r="J6" s="103" t="s">
        <v>658</v>
      </c>
      <c r="K6" s="103" t="s">
        <v>334</v>
      </c>
      <c r="L6" s="104">
        <v>35977</v>
      </c>
      <c r="M6" s="104">
        <v>28409</v>
      </c>
    </row>
    <row r="7" spans="1:13">
      <c r="A7" s="103">
        <v>443181</v>
      </c>
      <c r="B7" s="103" t="s">
        <v>675</v>
      </c>
      <c r="C7" s="103">
        <v>1075221111</v>
      </c>
      <c r="D7" s="103" t="s">
        <v>676</v>
      </c>
      <c r="E7" s="103" t="s">
        <v>655</v>
      </c>
      <c r="F7" s="103" t="s">
        <v>656</v>
      </c>
      <c r="G7" s="103">
        <v>6082710017</v>
      </c>
      <c r="H7" s="103" t="s">
        <v>662</v>
      </c>
      <c r="I7" s="103" t="s">
        <v>406</v>
      </c>
      <c r="J7" s="103" t="s">
        <v>677</v>
      </c>
      <c r="K7" s="103" t="s">
        <v>391</v>
      </c>
      <c r="L7" s="104">
        <v>43192</v>
      </c>
      <c r="M7" s="104">
        <v>31842</v>
      </c>
    </row>
    <row r="8" spans="1:13">
      <c r="A8" s="103">
        <v>649645</v>
      </c>
      <c r="B8" s="103" t="s">
        <v>678</v>
      </c>
      <c r="C8" s="103">
        <v>7733555</v>
      </c>
      <c r="D8" s="103" t="s">
        <v>679</v>
      </c>
      <c r="E8" s="103" t="s">
        <v>655</v>
      </c>
      <c r="F8" s="103" t="s">
        <v>680</v>
      </c>
      <c r="G8" s="103">
        <v>6082710016</v>
      </c>
      <c r="H8" s="103" t="s">
        <v>662</v>
      </c>
      <c r="I8" s="103" t="s">
        <v>278</v>
      </c>
      <c r="J8" s="103" t="s">
        <v>658</v>
      </c>
      <c r="K8" s="103" t="s">
        <v>392</v>
      </c>
      <c r="L8" s="104">
        <v>44445</v>
      </c>
      <c r="M8" s="104">
        <v>31340</v>
      </c>
    </row>
    <row r="9" spans="1:13">
      <c r="A9" s="103">
        <v>468206</v>
      </c>
      <c r="B9" s="103" t="s">
        <v>681</v>
      </c>
      <c r="C9" s="103">
        <v>1075221403</v>
      </c>
      <c r="D9" s="103" t="s">
        <v>682</v>
      </c>
      <c r="E9" s="103" t="s">
        <v>666</v>
      </c>
      <c r="F9" s="103" t="s">
        <v>656</v>
      </c>
      <c r="G9" s="103">
        <v>6082710016</v>
      </c>
      <c r="H9" s="103" t="s">
        <v>662</v>
      </c>
      <c r="I9" s="103" t="s">
        <v>278</v>
      </c>
      <c r="J9" s="103" t="s">
        <v>658</v>
      </c>
      <c r="K9" s="103" t="s">
        <v>490</v>
      </c>
      <c r="L9" s="104">
        <v>40123</v>
      </c>
      <c r="M9" s="104">
        <v>31944</v>
      </c>
    </row>
    <row r="10" spans="1:13">
      <c r="A10" s="103">
        <v>683715</v>
      </c>
      <c r="B10" s="103" t="s">
        <v>683</v>
      </c>
      <c r="C10" s="103">
        <v>1075272212</v>
      </c>
      <c r="D10" s="103" t="s">
        <v>684</v>
      </c>
      <c r="E10" s="103" t="s">
        <v>655</v>
      </c>
      <c r="F10" s="103" t="s">
        <v>680</v>
      </c>
      <c r="G10" s="103">
        <v>6082710016</v>
      </c>
      <c r="H10" s="103" t="s">
        <v>662</v>
      </c>
      <c r="I10" s="103" t="s">
        <v>278</v>
      </c>
      <c r="J10" s="103" t="s">
        <v>658</v>
      </c>
      <c r="K10" s="103" t="s">
        <v>604</v>
      </c>
      <c r="L10" s="104">
        <v>44480</v>
      </c>
      <c r="M10" s="104">
        <v>34098</v>
      </c>
    </row>
    <row r="11" spans="1:13">
      <c r="A11" s="103">
        <v>526503</v>
      </c>
      <c r="B11" s="103" t="s">
        <v>685</v>
      </c>
      <c r="C11" s="103">
        <v>1020725904</v>
      </c>
      <c r="D11" s="103" t="s">
        <v>686</v>
      </c>
      <c r="E11" s="103" t="s">
        <v>666</v>
      </c>
      <c r="F11" s="103" t="s">
        <v>656</v>
      </c>
      <c r="G11" s="103">
        <v>6082710017</v>
      </c>
      <c r="H11" s="103" t="s">
        <v>662</v>
      </c>
      <c r="I11" s="103" t="s">
        <v>406</v>
      </c>
      <c r="J11" s="103" t="s">
        <v>677</v>
      </c>
      <c r="K11" s="103" t="s">
        <v>310</v>
      </c>
      <c r="L11" s="104">
        <v>41093</v>
      </c>
      <c r="M11" s="104">
        <v>31710</v>
      </c>
    </row>
    <row r="12" spans="1:13">
      <c r="A12" s="103">
        <v>500642</v>
      </c>
      <c r="B12" s="103" t="s">
        <v>687</v>
      </c>
      <c r="C12" s="103">
        <v>1075236724</v>
      </c>
      <c r="D12" s="103" t="s">
        <v>688</v>
      </c>
      <c r="E12" s="103" t="s">
        <v>666</v>
      </c>
      <c r="F12" s="103" t="s">
        <v>667</v>
      </c>
      <c r="G12" s="103">
        <v>6082710016</v>
      </c>
      <c r="H12" s="103" t="s">
        <v>662</v>
      </c>
      <c r="I12" s="103" t="s">
        <v>278</v>
      </c>
      <c r="J12" s="103" t="s">
        <v>658</v>
      </c>
      <c r="K12" s="103" t="s">
        <v>447</v>
      </c>
      <c r="L12" s="104">
        <v>43073</v>
      </c>
      <c r="M12" s="104">
        <v>32571</v>
      </c>
    </row>
    <row r="13" spans="1:13">
      <c r="A13" s="103">
        <v>675698</v>
      </c>
      <c r="B13" s="103" t="s">
        <v>689</v>
      </c>
      <c r="C13" s="103">
        <v>1123513788</v>
      </c>
      <c r="D13" s="103" t="s">
        <v>690</v>
      </c>
      <c r="E13" s="103" t="s">
        <v>655</v>
      </c>
      <c r="F13" s="103" t="s">
        <v>656</v>
      </c>
      <c r="G13" s="103">
        <v>6084210016</v>
      </c>
      <c r="H13" s="103" t="s">
        <v>691</v>
      </c>
      <c r="I13" s="103" t="s">
        <v>278</v>
      </c>
      <c r="J13" s="103" t="s">
        <v>658</v>
      </c>
      <c r="K13" s="103" t="s">
        <v>392</v>
      </c>
      <c r="L13" s="104">
        <v>44256</v>
      </c>
      <c r="M13" s="104">
        <v>35389</v>
      </c>
    </row>
    <row r="14" spans="1:13">
      <c r="A14" s="103">
        <v>644602</v>
      </c>
      <c r="B14" s="103" t="s">
        <v>692</v>
      </c>
      <c r="C14" s="103">
        <v>1082214656</v>
      </c>
      <c r="D14" s="103" t="s">
        <v>693</v>
      </c>
      <c r="E14" s="103" t="s">
        <v>655</v>
      </c>
      <c r="F14" s="103" t="s">
        <v>656</v>
      </c>
      <c r="G14" s="103">
        <v>6082710016</v>
      </c>
      <c r="H14" s="103" t="s">
        <v>662</v>
      </c>
      <c r="I14" s="103" t="s">
        <v>278</v>
      </c>
      <c r="J14" s="103" t="s">
        <v>658</v>
      </c>
      <c r="K14" s="103" t="s">
        <v>392</v>
      </c>
      <c r="L14" s="104">
        <v>44180</v>
      </c>
      <c r="M14" s="104">
        <v>32386</v>
      </c>
    </row>
    <row r="15" spans="1:13">
      <c r="A15" s="103">
        <v>627713</v>
      </c>
      <c r="B15" s="103" t="s">
        <v>694</v>
      </c>
      <c r="C15" s="103">
        <v>1082216385</v>
      </c>
      <c r="D15" s="103" t="s">
        <v>695</v>
      </c>
      <c r="E15" s="103" t="s">
        <v>655</v>
      </c>
      <c r="F15" s="103" t="s">
        <v>656</v>
      </c>
      <c r="G15" s="103">
        <v>6082710016</v>
      </c>
      <c r="H15" s="103" t="s">
        <v>662</v>
      </c>
      <c r="I15" s="103" t="s">
        <v>278</v>
      </c>
      <c r="J15" s="103" t="s">
        <v>658</v>
      </c>
      <c r="K15" s="103" t="s">
        <v>318</v>
      </c>
      <c r="L15" s="104">
        <v>43080</v>
      </c>
      <c r="M15" s="104">
        <v>35113</v>
      </c>
    </row>
    <row r="16" spans="1:13">
      <c r="A16" s="103">
        <v>682351</v>
      </c>
      <c r="B16" s="103" t="s">
        <v>696</v>
      </c>
      <c r="C16" s="103">
        <v>1096191989</v>
      </c>
      <c r="D16" s="103" t="s">
        <v>697</v>
      </c>
      <c r="E16" s="103" t="s">
        <v>655</v>
      </c>
      <c r="F16" s="103" t="s">
        <v>680</v>
      </c>
      <c r="G16" s="103">
        <v>6084210017</v>
      </c>
      <c r="H16" s="103" t="s">
        <v>698</v>
      </c>
      <c r="I16" s="103" t="s">
        <v>406</v>
      </c>
      <c r="J16" s="103" t="s">
        <v>677</v>
      </c>
      <c r="K16" s="103" t="s">
        <v>426</v>
      </c>
      <c r="L16" s="104">
        <v>44452</v>
      </c>
      <c r="M16" s="104">
        <v>32097</v>
      </c>
    </row>
    <row r="17" spans="1:13">
      <c r="A17" s="103">
        <v>655014</v>
      </c>
      <c r="B17" s="103" t="s">
        <v>699</v>
      </c>
      <c r="C17" s="103">
        <v>1018452039</v>
      </c>
      <c r="D17" s="103" t="s">
        <v>700</v>
      </c>
      <c r="E17" s="103" t="s">
        <v>666</v>
      </c>
      <c r="F17" s="103" t="s">
        <v>656</v>
      </c>
      <c r="G17" s="103">
        <v>6082710017</v>
      </c>
      <c r="H17" s="103" t="s">
        <v>662</v>
      </c>
      <c r="I17" s="103" t="s">
        <v>406</v>
      </c>
      <c r="J17" s="103" t="s">
        <v>677</v>
      </c>
      <c r="K17" s="103" t="s">
        <v>481</v>
      </c>
      <c r="L17" s="104">
        <v>43556</v>
      </c>
      <c r="M17" s="104">
        <v>33710</v>
      </c>
    </row>
    <row r="18" spans="1:13">
      <c r="A18" s="103">
        <v>682333</v>
      </c>
      <c r="B18" s="103" t="s">
        <v>701</v>
      </c>
      <c r="C18" s="103">
        <v>1104136510</v>
      </c>
      <c r="D18" s="103" t="s">
        <v>702</v>
      </c>
      <c r="E18" s="103" t="s">
        <v>655</v>
      </c>
      <c r="F18" s="103" t="s">
        <v>680</v>
      </c>
      <c r="G18" s="103">
        <v>6084110016</v>
      </c>
      <c r="H18" s="103" t="s">
        <v>698</v>
      </c>
      <c r="I18" s="103" t="s">
        <v>278</v>
      </c>
      <c r="J18" s="103" t="s">
        <v>658</v>
      </c>
      <c r="K18" s="103" t="s">
        <v>392</v>
      </c>
      <c r="L18" s="104">
        <v>44452</v>
      </c>
      <c r="M18" s="104">
        <v>36271</v>
      </c>
    </row>
    <row r="19" spans="1:13">
      <c r="A19" s="103">
        <v>615284</v>
      </c>
      <c r="B19" s="103" t="s">
        <v>1111</v>
      </c>
      <c r="C19" s="103">
        <v>1057580729</v>
      </c>
      <c r="D19" s="103" t="s">
        <v>1112</v>
      </c>
      <c r="E19" s="103" t="s">
        <v>655</v>
      </c>
      <c r="F19" s="103" t="s">
        <v>656</v>
      </c>
      <c r="G19" s="103">
        <v>6082710016</v>
      </c>
      <c r="H19" s="103" t="s">
        <v>662</v>
      </c>
      <c r="I19" s="103" t="s">
        <v>278</v>
      </c>
      <c r="J19" s="103" t="s">
        <v>658</v>
      </c>
      <c r="K19" s="103" t="s">
        <v>392</v>
      </c>
      <c r="L19" s="104">
        <v>44683</v>
      </c>
      <c r="M19" s="104">
        <v>32625</v>
      </c>
    </row>
    <row r="20" spans="1:13">
      <c r="A20" s="103">
        <v>476056</v>
      </c>
      <c r="B20" s="103" t="s">
        <v>703</v>
      </c>
      <c r="C20" s="103">
        <v>80733606</v>
      </c>
      <c r="D20" s="103" t="s">
        <v>704</v>
      </c>
      <c r="E20" s="103" t="s">
        <v>666</v>
      </c>
      <c r="F20" s="103" t="s">
        <v>656</v>
      </c>
      <c r="G20" s="103">
        <v>6082710017</v>
      </c>
      <c r="H20" s="103" t="s">
        <v>662</v>
      </c>
      <c r="I20" s="103" t="s">
        <v>406</v>
      </c>
      <c r="J20" s="103" t="s">
        <v>677</v>
      </c>
      <c r="K20" s="103" t="s">
        <v>294</v>
      </c>
      <c r="L20" s="104">
        <v>40339</v>
      </c>
      <c r="M20" s="104">
        <v>29819</v>
      </c>
    </row>
    <row r="21" spans="1:13">
      <c r="A21" s="103">
        <v>464322</v>
      </c>
      <c r="B21" s="103" t="s">
        <v>705</v>
      </c>
      <c r="C21" s="103">
        <v>1075246164</v>
      </c>
      <c r="D21" s="103" t="s">
        <v>706</v>
      </c>
      <c r="E21" s="103" t="s">
        <v>666</v>
      </c>
      <c r="F21" s="103" t="s">
        <v>680</v>
      </c>
      <c r="G21" s="103">
        <v>6082710712</v>
      </c>
      <c r="H21" s="103" t="s">
        <v>662</v>
      </c>
      <c r="I21" s="103" t="s">
        <v>406</v>
      </c>
      <c r="J21" s="103" t="s">
        <v>663</v>
      </c>
      <c r="K21" s="103" t="s">
        <v>288</v>
      </c>
      <c r="L21" s="104">
        <v>40773</v>
      </c>
      <c r="M21" s="104">
        <v>33084</v>
      </c>
    </row>
    <row r="22" spans="1:13">
      <c r="A22" s="103">
        <v>688726</v>
      </c>
      <c r="B22" s="103" t="s">
        <v>1113</v>
      </c>
      <c r="C22" s="103">
        <v>1096242119</v>
      </c>
      <c r="D22" s="103" t="s">
        <v>1114</v>
      </c>
      <c r="E22" s="103" t="s">
        <v>655</v>
      </c>
      <c r="F22" s="103" t="s">
        <v>680</v>
      </c>
      <c r="G22" s="103">
        <v>6084110016</v>
      </c>
      <c r="H22" s="103" t="s">
        <v>698</v>
      </c>
      <c r="I22" s="103" t="s">
        <v>278</v>
      </c>
      <c r="J22" s="103" t="s">
        <v>658</v>
      </c>
      <c r="K22" s="103" t="s">
        <v>392</v>
      </c>
      <c r="L22" s="104">
        <v>44621</v>
      </c>
      <c r="M22" s="104">
        <v>35511</v>
      </c>
    </row>
    <row r="23" spans="1:13">
      <c r="A23" s="103">
        <v>671488</v>
      </c>
      <c r="B23" s="103" t="s">
        <v>707</v>
      </c>
      <c r="C23" s="103">
        <v>1728592</v>
      </c>
      <c r="D23" s="103" t="s">
        <v>708</v>
      </c>
      <c r="E23" s="103" t="s">
        <v>655</v>
      </c>
      <c r="F23" s="103" t="s">
        <v>656</v>
      </c>
      <c r="G23" s="103">
        <v>6084110014</v>
      </c>
      <c r="H23" s="103" t="s">
        <v>698</v>
      </c>
      <c r="I23" s="103" t="s">
        <v>406</v>
      </c>
      <c r="J23" s="103" t="s">
        <v>709</v>
      </c>
      <c r="K23" s="103" t="s">
        <v>529</v>
      </c>
      <c r="L23" s="104">
        <v>44081</v>
      </c>
      <c r="M23" s="104">
        <v>25607</v>
      </c>
    </row>
    <row r="24" spans="1:13">
      <c r="A24" s="103">
        <v>543827</v>
      </c>
      <c r="B24" s="103" t="s">
        <v>710</v>
      </c>
      <c r="C24" s="103">
        <v>7724138</v>
      </c>
      <c r="D24" s="103" t="s">
        <v>711</v>
      </c>
      <c r="E24" s="103" t="s">
        <v>666</v>
      </c>
      <c r="F24" s="103" t="s">
        <v>656</v>
      </c>
      <c r="G24" s="103">
        <v>6082710017</v>
      </c>
      <c r="H24" s="103" t="s">
        <v>662</v>
      </c>
      <c r="I24" s="103" t="s">
        <v>406</v>
      </c>
      <c r="J24" s="103" t="s">
        <v>677</v>
      </c>
      <c r="K24" s="103" t="s">
        <v>303</v>
      </c>
      <c r="L24" s="104">
        <v>41381</v>
      </c>
      <c r="M24" s="104">
        <v>30441</v>
      </c>
    </row>
    <row r="25" spans="1:13">
      <c r="A25" s="103">
        <v>452459</v>
      </c>
      <c r="B25" s="103" t="s">
        <v>712</v>
      </c>
      <c r="C25" s="103">
        <v>1075227632</v>
      </c>
      <c r="D25" s="103" t="s">
        <v>713</v>
      </c>
      <c r="E25" s="103" t="s">
        <v>655</v>
      </c>
      <c r="F25" s="103" t="s">
        <v>680</v>
      </c>
      <c r="G25" s="103">
        <v>6082710016</v>
      </c>
      <c r="H25" s="103" t="s">
        <v>662</v>
      </c>
      <c r="I25" s="103" t="s">
        <v>278</v>
      </c>
      <c r="J25" s="103" t="s">
        <v>658</v>
      </c>
      <c r="K25" s="103" t="s">
        <v>490</v>
      </c>
      <c r="L25" s="104">
        <v>44484</v>
      </c>
      <c r="M25" s="104">
        <v>32181</v>
      </c>
    </row>
    <row r="26" spans="1:13">
      <c r="A26" s="103">
        <v>648578</v>
      </c>
      <c r="B26" s="103" t="s">
        <v>714</v>
      </c>
      <c r="C26" s="103">
        <v>1075256324</v>
      </c>
      <c r="D26" s="103" t="s">
        <v>715</v>
      </c>
      <c r="E26" s="103" t="s">
        <v>655</v>
      </c>
      <c r="F26" s="103" t="s">
        <v>661</v>
      </c>
      <c r="G26" s="103">
        <v>6082710712</v>
      </c>
      <c r="H26" s="103" t="s">
        <v>662</v>
      </c>
      <c r="I26" s="103" t="s">
        <v>406</v>
      </c>
      <c r="J26" s="103" t="s">
        <v>663</v>
      </c>
      <c r="K26" s="103" t="s">
        <v>392</v>
      </c>
      <c r="L26" s="104">
        <v>43417</v>
      </c>
      <c r="M26" s="104">
        <v>33513</v>
      </c>
    </row>
    <row r="27" spans="1:13">
      <c r="A27" s="103">
        <v>123325</v>
      </c>
      <c r="B27" s="103" t="s">
        <v>716</v>
      </c>
      <c r="C27" s="103">
        <v>262549</v>
      </c>
      <c r="D27" s="103" t="s">
        <v>717</v>
      </c>
      <c r="E27" s="103" t="s">
        <v>666</v>
      </c>
      <c r="F27" s="103" t="s">
        <v>667</v>
      </c>
      <c r="G27" s="103">
        <v>9151275700</v>
      </c>
      <c r="H27" s="103" t="s">
        <v>662</v>
      </c>
      <c r="I27" s="103" t="s">
        <v>406</v>
      </c>
      <c r="J27" s="103" t="s">
        <v>669</v>
      </c>
      <c r="K27" s="103" t="s">
        <v>1107</v>
      </c>
      <c r="L27" s="104">
        <v>36251</v>
      </c>
      <c r="M27" s="104">
        <v>26726</v>
      </c>
    </row>
    <row r="28" spans="1:13">
      <c r="A28" s="103">
        <v>587116</v>
      </c>
      <c r="B28" s="103" t="s">
        <v>718</v>
      </c>
      <c r="C28" s="103">
        <v>1115858445</v>
      </c>
      <c r="D28" s="103" t="s">
        <v>719</v>
      </c>
      <c r="E28" s="103" t="s">
        <v>655</v>
      </c>
      <c r="F28" s="103" t="s">
        <v>661</v>
      </c>
      <c r="G28" s="103">
        <v>6084210017</v>
      </c>
      <c r="H28" s="103" t="s">
        <v>691</v>
      </c>
      <c r="I28" s="103" t="s">
        <v>406</v>
      </c>
      <c r="J28" s="103" t="s">
        <v>677</v>
      </c>
      <c r="K28" s="103" t="s">
        <v>308</v>
      </c>
      <c r="L28" s="104">
        <v>43192</v>
      </c>
      <c r="M28" s="104">
        <v>33957</v>
      </c>
    </row>
    <row r="29" spans="1:13">
      <c r="A29" s="103">
        <v>688314</v>
      </c>
      <c r="B29" s="103" t="s">
        <v>720</v>
      </c>
      <c r="C29" s="103">
        <v>1020849976</v>
      </c>
      <c r="D29" s="103" t="s">
        <v>721</v>
      </c>
      <c r="E29" s="103" t="s">
        <v>655</v>
      </c>
      <c r="F29" s="103" t="s">
        <v>656</v>
      </c>
      <c r="G29" s="103">
        <v>6082575700</v>
      </c>
      <c r="H29" s="103" t="s">
        <v>722</v>
      </c>
      <c r="I29" s="103" t="s">
        <v>406</v>
      </c>
      <c r="J29" s="103" t="s">
        <v>669</v>
      </c>
      <c r="K29" s="103" t="s">
        <v>481</v>
      </c>
      <c r="L29" s="104">
        <v>44608</v>
      </c>
      <c r="M29" s="104">
        <v>32448</v>
      </c>
    </row>
    <row r="30" spans="1:13">
      <c r="A30" s="103">
        <v>587898</v>
      </c>
      <c r="B30" s="103" t="s">
        <v>723</v>
      </c>
      <c r="C30" s="103">
        <v>7708776</v>
      </c>
      <c r="D30" s="103" t="s">
        <v>724</v>
      </c>
      <c r="E30" s="103" t="s">
        <v>655</v>
      </c>
      <c r="F30" s="103" t="s">
        <v>680</v>
      </c>
      <c r="G30" s="103">
        <v>6082710017</v>
      </c>
      <c r="H30" s="103" t="s">
        <v>662</v>
      </c>
      <c r="I30" s="103" t="s">
        <v>406</v>
      </c>
      <c r="J30" s="103" t="s">
        <v>677</v>
      </c>
      <c r="K30" s="103" t="s">
        <v>308</v>
      </c>
      <c r="L30" s="104">
        <v>43164</v>
      </c>
      <c r="M30" s="104">
        <v>28740</v>
      </c>
    </row>
    <row r="31" spans="1:13">
      <c r="A31" s="103">
        <v>524607</v>
      </c>
      <c r="B31" s="103" t="s">
        <v>725</v>
      </c>
      <c r="C31" s="103">
        <v>1075242114</v>
      </c>
      <c r="D31" s="103" t="s">
        <v>726</v>
      </c>
      <c r="E31" s="103" t="s">
        <v>727</v>
      </c>
      <c r="F31" s="103" t="s">
        <v>656</v>
      </c>
      <c r="G31" s="103">
        <v>6082710016</v>
      </c>
      <c r="H31" s="103" t="s">
        <v>662</v>
      </c>
      <c r="I31" s="103" t="s">
        <v>278</v>
      </c>
      <c r="J31" s="103" t="s">
        <v>658</v>
      </c>
      <c r="K31" s="103" t="s">
        <v>318</v>
      </c>
      <c r="L31" s="104">
        <v>41064</v>
      </c>
      <c r="M31" s="104">
        <v>32922</v>
      </c>
    </row>
    <row r="32" spans="1:13">
      <c r="A32" s="103">
        <v>688698</v>
      </c>
      <c r="B32" s="103" t="s">
        <v>1101</v>
      </c>
      <c r="C32" s="103">
        <v>1079180925</v>
      </c>
      <c r="D32" s="103" t="s">
        <v>1102</v>
      </c>
      <c r="E32" s="103" t="s">
        <v>655</v>
      </c>
      <c r="F32" s="103" t="s">
        <v>656</v>
      </c>
      <c r="G32" s="103">
        <v>6082710017</v>
      </c>
      <c r="H32" s="103" t="s">
        <v>662</v>
      </c>
      <c r="I32" s="103" t="s">
        <v>406</v>
      </c>
      <c r="J32" s="103" t="s">
        <v>677</v>
      </c>
      <c r="K32" s="103" t="s">
        <v>308</v>
      </c>
      <c r="L32" s="104">
        <v>44621</v>
      </c>
      <c r="M32" s="104">
        <v>34141</v>
      </c>
    </row>
    <row r="33" spans="1:13">
      <c r="A33" s="103">
        <v>457297</v>
      </c>
      <c r="B33" s="103" t="s">
        <v>728</v>
      </c>
      <c r="C33" s="103">
        <v>7706107</v>
      </c>
      <c r="D33" s="103" t="s">
        <v>729</v>
      </c>
      <c r="E33" s="103" t="s">
        <v>666</v>
      </c>
      <c r="F33" s="103" t="s">
        <v>656</v>
      </c>
      <c r="G33" s="103">
        <v>6082710712</v>
      </c>
      <c r="H33" s="103" t="s">
        <v>662</v>
      </c>
      <c r="I33" s="103" t="s">
        <v>406</v>
      </c>
      <c r="J33" s="103" t="s">
        <v>663</v>
      </c>
      <c r="K33" s="103" t="s">
        <v>288</v>
      </c>
      <c r="L33" s="104">
        <v>39728</v>
      </c>
      <c r="M33" s="104">
        <v>28401</v>
      </c>
    </row>
    <row r="34" spans="1:13">
      <c r="A34" s="103">
        <v>642673</v>
      </c>
      <c r="B34" s="103" t="s">
        <v>730</v>
      </c>
      <c r="C34" s="103">
        <v>1020766989</v>
      </c>
      <c r="D34" s="103" t="s">
        <v>731</v>
      </c>
      <c r="E34" s="103" t="s">
        <v>666</v>
      </c>
      <c r="F34" s="103" t="s">
        <v>680</v>
      </c>
      <c r="G34" s="103">
        <v>6082710017</v>
      </c>
      <c r="H34" s="103" t="s">
        <v>662</v>
      </c>
      <c r="I34" s="103" t="s">
        <v>406</v>
      </c>
      <c r="J34" s="103" t="s">
        <v>677</v>
      </c>
      <c r="K34" s="103" t="s">
        <v>481</v>
      </c>
      <c r="L34" s="104">
        <v>43325</v>
      </c>
      <c r="M34" s="104">
        <v>33561</v>
      </c>
    </row>
    <row r="35" spans="1:13">
      <c r="A35" s="103">
        <v>591876</v>
      </c>
      <c r="B35" s="103" t="s">
        <v>732</v>
      </c>
      <c r="C35" s="103">
        <v>1070942272</v>
      </c>
      <c r="D35" s="103" t="s">
        <v>733</v>
      </c>
      <c r="E35" s="103" t="s">
        <v>655</v>
      </c>
      <c r="F35" s="103" t="s">
        <v>656</v>
      </c>
      <c r="G35" s="103">
        <v>6082710712</v>
      </c>
      <c r="H35" s="103" t="s">
        <v>662</v>
      </c>
      <c r="I35" s="103" t="s">
        <v>406</v>
      </c>
      <c r="J35" s="103" t="s">
        <v>663</v>
      </c>
      <c r="K35" s="103" t="s">
        <v>318</v>
      </c>
      <c r="L35" s="104">
        <v>42847</v>
      </c>
      <c r="M35" s="104">
        <v>31393</v>
      </c>
    </row>
    <row r="36" spans="1:13">
      <c r="A36" s="103">
        <v>684221</v>
      </c>
      <c r="B36" s="103" t="s">
        <v>734</v>
      </c>
      <c r="C36" s="103">
        <v>1026285575</v>
      </c>
      <c r="D36" s="103" t="s">
        <v>735</v>
      </c>
      <c r="E36" s="103" t="s">
        <v>655</v>
      </c>
      <c r="F36" s="103" t="s">
        <v>680</v>
      </c>
      <c r="G36" s="103">
        <v>6082570700</v>
      </c>
      <c r="H36" s="103" t="s">
        <v>722</v>
      </c>
      <c r="I36" s="103" t="s">
        <v>278</v>
      </c>
      <c r="J36" s="103" t="s">
        <v>736</v>
      </c>
      <c r="K36" s="103" t="s">
        <v>470</v>
      </c>
      <c r="L36" s="104">
        <v>44502</v>
      </c>
      <c r="M36" s="104">
        <v>34234</v>
      </c>
    </row>
    <row r="37" spans="1:13">
      <c r="A37" s="103">
        <v>651409</v>
      </c>
      <c r="B37" s="103" t="s">
        <v>737</v>
      </c>
      <c r="C37" s="103">
        <v>1088251654</v>
      </c>
      <c r="D37" s="103" t="s">
        <v>738</v>
      </c>
      <c r="E37" s="103" t="s">
        <v>666</v>
      </c>
      <c r="F37" s="103" t="s">
        <v>656</v>
      </c>
      <c r="G37" s="103">
        <v>6082710017</v>
      </c>
      <c r="H37" s="103" t="s">
        <v>662</v>
      </c>
      <c r="I37" s="103" t="s">
        <v>406</v>
      </c>
      <c r="J37" s="103" t="s">
        <v>677</v>
      </c>
      <c r="K37" s="103" t="s">
        <v>481</v>
      </c>
      <c r="L37" s="104">
        <v>43473</v>
      </c>
      <c r="M37" s="104">
        <v>31780</v>
      </c>
    </row>
    <row r="38" spans="1:13">
      <c r="A38" s="103">
        <v>508097</v>
      </c>
      <c r="B38" s="103" t="s">
        <v>739</v>
      </c>
      <c r="C38" s="103">
        <v>1075224217</v>
      </c>
      <c r="D38" s="103" t="s">
        <v>740</v>
      </c>
      <c r="E38" s="103" t="s">
        <v>655</v>
      </c>
      <c r="F38" s="103" t="s">
        <v>680</v>
      </c>
      <c r="G38" s="103">
        <v>6082710017</v>
      </c>
      <c r="H38" s="103" t="s">
        <v>662</v>
      </c>
      <c r="I38" s="103" t="s">
        <v>406</v>
      </c>
      <c r="J38" s="103" t="s">
        <v>677</v>
      </c>
      <c r="K38" s="103" t="s">
        <v>308</v>
      </c>
      <c r="L38" s="104">
        <v>43192</v>
      </c>
      <c r="M38" s="104">
        <v>31997</v>
      </c>
    </row>
    <row r="39" spans="1:13">
      <c r="A39" s="103">
        <v>684166</v>
      </c>
      <c r="B39" s="103" t="s">
        <v>741</v>
      </c>
      <c r="C39" s="103">
        <v>1075257542</v>
      </c>
      <c r="D39" s="103" t="s">
        <v>742</v>
      </c>
      <c r="E39" s="103" t="s">
        <v>655</v>
      </c>
      <c r="F39" s="103" t="s">
        <v>680</v>
      </c>
      <c r="G39" s="103">
        <v>6082710017</v>
      </c>
      <c r="H39" s="103" t="s">
        <v>662</v>
      </c>
      <c r="I39" s="103" t="s">
        <v>406</v>
      </c>
      <c r="J39" s="103" t="s">
        <v>677</v>
      </c>
      <c r="K39" s="103" t="s">
        <v>426</v>
      </c>
      <c r="L39" s="104">
        <v>44502</v>
      </c>
      <c r="M39" s="104">
        <v>33291</v>
      </c>
    </row>
    <row r="40" spans="1:13">
      <c r="A40" s="103">
        <v>628368</v>
      </c>
      <c r="B40" s="103" t="s">
        <v>743</v>
      </c>
      <c r="C40" s="103">
        <v>1075237562</v>
      </c>
      <c r="D40" s="103" t="s">
        <v>744</v>
      </c>
      <c r="E40" s="103" t="s">
        <v>655</v>
      </c>
      <c r="F40" s="103" t="s">
        <v>661</v>
      </c>
      <c r="G40" s="103">
        <v>6082710017</v>
      </c>
      <c r="H40" s="103" t="s">
        <v>662</v>
      </c>
      <c r="I40" s="103" t="s">
        <v>406</v>
      </c>
      <c r="J40" s="103" t="s">
        <v>677</v>
      </c>
      <c r="K40" s="103" t="s">
        <v>426</v>
      </c>
      <c r="L40" s="104">
        <v>43109</v>
      </c>
      <c r="M40" s="104">
        <v>32616</v>
      </c>
    </row>
    <row r="41" spans="1:13">
      <c r="A41" s="103">
        <v>508171</v>
      </c>
      <c r="B41" s="103" t="s">
        <v>745</v>
      </c>
      <c r="C41" s="103">
        <v>1118547814</v>
      </c>
      <c r="D41" s="103" t="s">
        <v>746</v>
      </c>
      <c r="E41" s="103" t="s">
        <v>666</v>
      </c>
      <c r="F41" s="103" t="s">
        <v>656</v>
      </c>
      <c r="G41" s="103">
        <v>6082810017</v>
      </c>
      <c r="H41" s="103" t="s">
        <v>674</v>
      </c>
      <c r="I41" s="103" t="s">
        <v>406</v>
      </c>
      <c r="J41" s="103" t="s">
        <v>677</v>
      </c>
      <c r="K41" s="103" t="s">
        <v>294</v>
      </c>
      <c r="L41" s="104">
        <v>40834</v>
      </c>
      <c r="M41" s="104">
        <v>33411</v>
      </c>
    </row>
    <row r="42" spans="1:13">
      <c r="A42" s="103">
        <v>418770</v>
      </c>
      <c r="B42" s="103" t="s">
        <v>747</v>
      </c>
      <c r="C42" s="103">
        <v>1118534128</v>
      </c>
      <c r="D42" s="103" t="s">
        <v>748</v>
      </c>
      <c r="E42" s="103" t="s">
        <v>666</v>
      </c>
      <c r="F42" s="103" t="s">
        <v>656</v>
      </c>
      <c r="G42" s="103">
        <v>6082810016</v>
      </c>
      <c r="H42" s="103" t="s">
        <v>674</v>
      </c>
      <c r="I42" s="103" t="s">
        <v>278</v>
      </c>
      <c r="J42" s="103" t="s">
        <v>658</v>
      </c>
      <c r="K42" s="103" t="s">
        <v>490</v>
      </c>
      <c r="L42" s="104">
        <v>39185</v>
      </c>
      <c r="M42" s="104">
        <v>31776</v>
      </c>
    </row>
    <row r="43" spans="1:13">
      <c r="A43" s="103">
        <v>649835</v>
      </c>
      <c r="B43" s="103" t="s">
        <v>749</v>
      </c>
      <c r="C43" s="103">
        <v>1075281370</v>
      </c>
      <c r="D43" s="103" t="s">
        <v>750</v>
      </c>
      <c r="E43" s="103" t="s">
        <v>666</v>
      </c>
      <c r="F43" s="103" t="s">
        <v>680</v>
      </c>
      <c r="G43" s="103">
        <v>6082710712</v>
      </c>
      <c r="H43" s="103" t="s">
        <v>662</v>
      </c>
      <c r="I43" s="103" t="s">
        <v>406</v>
      </c>
      <c r="J43" s="103" t="s">
        <v>663</v>
      </c>
      <c r="K43" s="103" t="s">
        <v>604</v>
      </c>
      <c r="L43" s="104">
        <v>43444</v>
      </c>
      <c r="M43" s="104">
        <v>34521</v>
      </c>
    </row>
    <row r="44" spans="1:13">
      <c r="A44" s="103">
        <v>477655</v>
      </c>
      <c r="B44" s="103" t="s">
        <v>751</v>
      </c>
      <c r="C44" s="103">
        <v>1118542052</v>
      </c>
      <c r="D44" s="103" t="s">
        <v>752</v>
      </c>
      <c r="E44" s="103" t="s">
        <v>655</v>
      </c>
      <c r="F44" s="103" t="s">
        <v>656</v>
      </c>
      <c r="G44" s="103">
        <v>6084210017</v>
      </c>
      <c r="H44" s="103" t="s">
        <v>691</v>
      </c>
      <c r="I44" s="103" t="s">
        <v>406</v>
      </c>
      <c r="J44" s="103" t="s">
        <v>677</v>
      </c>
      <c r="K44" s="103" t="s">
        <v>391</v>
      </c>
      <c r="L44" s="104">
        <v>44410</v>
      </c>
      <c r="M44" s="104">
        <v>32804</v>
      </c>
    </row>
    <row r="45" spans="1:13">
      <c r="A45" s="103">
        <v>657504</v>
      </c>
      <c r="B45" s="103" t="s">
        <v>753</v>
      </c>
      <c r="C45" s="103">
        <v>1096197943</v>
      </c>
      <c r="D45" s="103" t="s">
        <v>754</v>
      </c>
      <c r="E45" s="103" t="s">
        <v>655</v>
      </c>
      <c r="F45" s="103" t="s">
        <v>656</v>
      </c>
      <c r="G45" s="103">
        <v>6084210017</v>
      </c>
      <c r="H45" s="103" t="s">
        <v>698</v>
      </c>
      <c r="I45" s="103" t="s">
        <v>406</v>
      </c>
      <c r="J45" s="103" t="s">
        <v>677</v>
      </c>
      <c r="K45" s="103" t="s">
        <v>426</v>
      </c>
      <c r="L45" s="104">
        <v>44221</v>
      </c>
      <c r="M45" s="104">
        <v>32473</v>
      </c>
    </row>
    <row r="46" spans="1:13">
      <c r="A46" s="103">
        <v>646554</v>
      </c>
      <c r="B46" s="103" t="s">
        <v>755</v>
      </c>
      <c r="C46" s="103">
        <v>1020798555</v>
      </c>
      <c r="D46" s="103" t="s">
        <v>756</v>
      </c>
      <c r="E46" s="103" t="s">
        <v>666</v>
      </c>
      <c r="F46" s="103" t="s">
        <v>656</v>
      </c>
      <c r="G46" s="103">
        <v>6082710712</v>
      </c>
      <c r="H46" s="103" t="s">
        <v>662</v>
      </c>
      <c r="I46" s="103" t="s">
        <v>406</v>
      </c>
      <c r="J46" s="103" t="s">
        <v>663</v>
      </c>
      <c r="K46" s="103" t="s">
        <v>470</v>
      </c>
      <c r="L46" s="104">
        <v>43381</v>
      </c>
      <c r="M46" s="104">
        <v>34634</v>
      </c>
    </row>
    <row r="47" spans="1:13">
      <c r="A47" s="103">
        <v>637734</v>
      </c>
      <c r="B47" s="103" t="s">
        <v>757</v>
      </c>
      <c r="C47" s="103">
        <v>10187847</v>
      </c>
      <c r="D47" s="103" t="s">
        <v>758</v>
      </c>
      <c r="E47" s="103" t="s">
        <v>655</v>
      </c>
      <c r="F47" s="103" t="s">
        <v>656</v>
      </c>
      <c r="G47" s="103">
        <v>6084210017</v>
      </c>
      <c r="H47" s="103" t="s">
        <v>691</v>
      </c>
      <c r="I47" s="103" t="s">
        <v>406</v>
      </c>
      <c r="J47" s="103" t="s">
        <v>677</v>
      </c>
      <c r="K47" s="103" t="s">
        <v>426</v>
      </c>
      <c r="L47" s="104">
        <v>44169</v>
      </c>
      <c r="M47" s="104">
        <v>29150</v>
      </c>
    </row>
    <row r="48" spans="1:13">
      <c r="A48" s="103">
        <v>680956</v>
      </c>
      <c r="B48" s="103" t="s">
        <v>759</v>
      </c>
      <c r="C48" s="103">
        <v>1063623048</v>
      </c>
      <c r="D48" s="103" t="s">
        <v>760</v>
      </c>
      <c r="E48" s="103" t="s">
        <v>655</v>
      </c>
      <c r="F48" s="103" t="s">
        <v>680</v>
      </c>
      <c r="G48" s="103">
        <v>6084210017</v>
      </c>
      <c r="H48" s="103" t="s">
        <v>698</v>
      </c>
      <c r="I48" s="103" t="s">
        <v>406</v>
      </c>
      <c r="J48" s="103" t="s">
        <v>677</v>
      </c>
      <c r="K48" s="103" t="s">
        <v>392</v>
      </c>
      <c r="L48" s="104">
        <v>44410</v>
      </c>
      <c r="M48" s="104">
        <v>35221</v>
      </c>
    </row>
    <row r="49" spans="1:13">
      <c r="A49" s="103">
        <v>634032</v>
      </c>
      <c r="B49" s="103" t="s">
        <v>761</v>
      </c>
      <c r="C49" s="103">
        <v>1075231913</v>
      </c>
      <c r="D49" s="103" t="s">
        <v>762</v>
      </c>
      <c r="E49" s="103" t="s">
        <v>655</v>
      </c>
      <c r="F49" s="103" t="s">
        <v>656</v>
      </c>
      <c r="G49" s="103">
        <v>6082710017</v>
      </c>
      <c r="H49" s="103" t="s">
        <v>662</v>
      </c>
      <c r="I49" s="103" t="s">
        <v>406</v>
      </c>
      <c r="J49" s="103" t="s">
        <v>677</v>
      </c>
      <c r="K49" s="103" t="s">
        <v>294</v>
      </c>
      <c r="L49" s="104">
        <v>44174</v>
      </c>
      <c r="M49" s="104">
        <v>32435</v>
      </c>
    </row>
    <row r="50" spans="1:13">
      <c r="A50" s="103">
        <v>646874</v>
      </c>
      <c r="B50" s="103" t="s">
        <v>763</v>
      </c>
      <c r="C50" s="103">
        <v>12241559</v>
      </c>
      <c r="D50" s="103" t="s">
        <v>764</v>
      </c>
      <c r="E50" s="103" t="s">
        <v>666</v>
      </c>
      <c r="F50" s="103" t="s">
        <v>656</v>
      </c>
      <c r="G50" s="103">
        <v>6082710017</v>
      </c>
      <c r="H50" s="103" t="s">
        <v>662</v>
      </c>
      <c r="I50" s="103" t="s">
        <v>406</v>
      </c>
      <c r="J50" s="103" t="s">
        <v>677</v>
      </c>
      <c r="K50" s="103" t="s">
        <v>391</v>
      </c>
      <c r="L50" s="104">
        <v>43390</v>
      </c>
      <c r="M50" s="104">
        <v>28100</v>
      </c>
    </row>
    <row r="51" spans="1:13">
      <c r="A51" s="103">
        <v>686447</v>
      </c>
      <c r="B51" s="103" t="s">
        <v>765</v>
      </c>
      <c r="C51" s="103">
        <v>7732368</v>
      </c>
      <c r="D51" s="103" t="s">
        <v>766</v>
      </c>
      <c r="E51" s="103" t="s">
        <v>655</v>
      </c>
      <c r="F51" s="103" t="s">
        <v>656</v>
      </c>
      <c r="G51" s="103">
        <v>6082710017</v>
      </c>
      <c r="H51" s="103" t="s">
        <v>662</v>
      </c>
      <c r="I51" s="103" t="s">
        <v>406</v>
      </c>
      <c r="J51" s="103" t="s">
        <v>677</v>
      </c>
      <c r="K51" s="103" t="s">
        <v>308</v>
      </c>
      <c r="L51" s="104">
        <v>44572</v>
      </c>
      <c r="M51" s="104">
        <v>31271</v>
      </c>
    </row>
    <row r="52" spans="1:13">
      <c r="A52" s="103">
        <v>621724</v>
      </c>
      <c r="B52" s="103" t="s">
        <v>767</v>
      </c>
      <c r="C52" s="103">
        <v>7712321</v>
      </c>
      <c r="D52" s="103" t="s">
        <v>768</v>
      </c>
      <c r="E52" s="103" t="s">
        <v>655</v>
      </c>
      <c r="F52" s="103" t="s">
        <v>656</v>
      </c>
      <c r="G52" s="103">
        <v>6082710712</v>
      </c>
      <c r="H52" s="103" t="s">
        <v>662</v>
      </c>
      <c r="I52" s="103" t="s">
        <v>406</v>
      </c>
      <c r="J52" s="103" t="s">
        <v>663</v>
      </c>
      <c r="K52" s="103" t="s">
        <v>318</v>
      </c>
      <c r="L52" s="104">
        <v>43073</v>
      </c>
      <c r="M52" s="104">
        <v>29150</v>
      </c>
    </row>
    <row r="53" spans="1:13">
      <c r="A53" s="103">
        <v>676163</v>
      </c>
      <c r="B53" s="103" t="s">
        <v>769</v>
      </c>
      <c r="C53" s="103">
        <v>1122134870</v>
      </c>
      <c r="D53" s="103" t="s">
        <v>770</v>
      </c>
      <c r="E53" s="103" t="s">
        <v>655</v>
      </c>
      <c r="F53" s="103" t="s">
        <v>656</v>
      </c>
      <c r="G53" s="103">
        <v>6084210017</v>
      </c>
      <c r="H53" s="103" t="s">
        <v>691</v>
      </c>
      <c r="I53" s="103" t="s">
        <v>406</v>
      </c>
      <c r="J53" s="103" t="s">
        <v>677</v>
      </c>
      <c r="K53" s="103" t="s">
        <v>426</v>
      </c>
      <c r="L53" s="104">
        <v>44270</v>
      </c>
      <c r="M53" s="104">
        <v>34380</v>
      </c>
    </row>
    <row r="54" spans="1:13">
      <c r="A54" s="103">
        <v>672942</v>
      </c>
      <c r="B54" s="103" t="s">
        <v>771</v>
      </c>
      <c r="C54" s="103">
        <v>18145734</v>
      </c>
      <c r="D54" s="103" t="s">
        <v>772</v>
      </c>
      <c r="E54" s="103" t="s">
        <v>655</v>
      </c>
      <c r="F54" s="103" t="s">
        <v>656</v>
      </c>
      <c r="G54" s="103">
        <v>6082710017</v>
      </c>
      <c r="H54" s="103" t="s">
        <v>662</v>
      </c>
      <c r="I54" s="103" t="s">
        <v>406</v>
      </c>
      <c r="J54" s="103" t="s">
        <v>677</v>
      </c>
      <c r="K54" s="103" t="s">
        <v>426</v>
      </c>
      <c r="L54" s="104">
        <v>44139</v>
      </c>
      <c r="M54" s="104">
        <v>28743</v>
      </c>
    </row>
    <row r="55" spans="1:13">
      <c r="A55" s="103">
        <v>529330</v>
      </c>
      <c r="B55" s="103" t="s">
        <v>773</v>
      </c>
      <c r="C55" s="103">
        <v>1118542794</v>
      </c>
      <c r="D55" s="103" t="s">
        <v>774</v>
      </c>
      <c r="E55" s="103" t="s">
        <v>655</v>
      </c>
      <c r="F55" s="103" t="s">
        <v>656</v>
      </c>
      <c r="G55" s="103">
        <v>6084210712</v>
      </c>
      <c r="H55" s="103" t="s">
        <v>657</v>
      </c>
      <c r="I55" s="103" t="s">
        <v>406</v>
      </c>
      <c r="J55" s="103" t="s">
        <v>663</v>
      </c>
      <c r="K55" s="103" t="s">
        <v>318</v>
      </c>
      <c r="L55" s="104">
        <v>44169</v>
      </c>
      <c r="M55" s="104">
        <v>32896</v>
      </c>
    </row>
    <row r="56" spans="1:13">
      <c r="A56" s="103">
        <v>419673</v>
      </c>
      <c r="B56" s="103" t="s">
        <v>775</v>
      </c>
      <c r="C56" s="103">
        <v>1075211709</v>
      </c>
      <c r="D56" s="103" t="s">
        <v>776</v>
      </c>
      <c r="E56" s="103" t="s">
        <v>666</v>
      </c>
      <c r="F56" s="103" t="s">
        <v>656</v>
      </c>
      <c r="G56" s="103">
        <v>6082710017</v>
      </c>
      <c r="H56" s="103" t="s">
        <v>662</v>
      </c>
      <c r="I56" s="103" t="s">
        <v>406</v>
      </c>
      <c r="J56" s="103" t="s">
        <v>677</v>
      </c>
      <c r="K56" s="103" t="s">
        <v>303</v>
      </c>
      <c r="L56" s="104">
        <v>43171</v>
      </c>
      <c r="M56" s="104">
        <v>31534</v>
      </c>
    </row>
    <row r="57" spans="1:13">
      <c r="A57" s="103">
        <v>587107</v>
      </c>
      <c r="B57" s="103" t="s">
        <v>777</v>
      </c>
      <c r="C57" s="103">
        <v>1024550442</v>
      </c>
      <c r="D57" s="103" t="s">
        <v>778</v>
      </c>
      <c r="E57" s="103" t="s">
        <v>655</v>
      </c>
      <c r="F57" s="103" t="s">
        <v>656</v>
      </c>
      <c r="G57" s="103">
        <v>6082710017</v>
      </c>
      <c r="H57" s="103" t="s">
        <v>662</v>
      </c>
      <c r="I57" s="103" t="s">
        <v>406</v>
      </c>
      <c r="J57" s="103" t="s">
        <v>677</v>
      </c>
      <c r="K57" s="103" t="s">
        <v>308</v>
      </c>
      <c r="L57" s="104">
        <v>42675</v>
      </c>
      <c r="M57" s="104">
        <v>34416</v>
      </c>
    </row>
    <row r="58" spans="1:13">
      <c r="A58" s="103">
        <v>545138</v>
      </c>
      <c r="B58" s="103" t="s">
        <v>779</v>
      </c>
      <c r="C58" s="103">
        <v>9432295</v>
      </c>
      <c r="D58" s="103" t="s">
        <v>780</v>
      </c>
      <c r="E58" s="103" t="s">
        <v>666</v>
      </c>
      <c r="F58" s="103" t="s">
        <v>656</v>
      </c>
      <c r="G58" s="103">
        <v>6082710016</v>
      </c>
      <c r="H58" s="103" t="s">
        <v>662</v>
      </c>
      <c r="I58" s="103" t="s">
        <v>278</v>
      </c>
      <c r="J58" s="103" t="s">
        <v>658</v>
      </c>
      <c r="K58" s="103" t="s">
        <v>292</v>
      </c>
      <c r="L58" s="104">
        <v>43171</v>
      </c>
      <c r="M58" s="104">
        <v>30644</v>
      </c>
    </row>
    <row r="59" spans="1:13">
      <c r="A59" s="103">
        <v>624611</v>
      </c>
      <c r="B59" s="103" t="s">
        <v>781</v>
      </c>
      <c r="C59" s="103">
        <v>7714111</v>
      </c>
      <c r="D59" s="103" t="s">
        <v>782</v>
      </c>
      <c r="E59" s="103" t="s">
        <v>655</v>
      </c>
      <c r="F59" s="103" t="s">
        <v>656</v>
      </c>
      <c r="G59" s="103">
        <v>6082710017</v>
      </c>
      <c r="H59" s="103" t="s">
        <v>662</v>
      </c>
      <c r="I59" s="103" t="s">
        <v>406</v>
      </c>
      <c r="J59" s="103" t="s">
        <v>677</v>
      </c>
      <c r="K59" s="103" t="s">
        <v>308</v>
      </c>
      <c r="L59" s="104">
        <v>43164</v>
      </c>
      <c r="M59" s="104">
        <v>29163</v>
      </c>
    </row>
    <row r="60" spans="1:13">
      <c r="A60" s="103">
        <v>546433</v>
      </c>
      <c r="B60" s="103" t="s">
        <v>783</v>
      </c>
      <c r="C60" s="103">
        <v>1083876366</v>
      </c>
      <c r="D60" s="103" t="s">
        <v>784</v>
      </c>
      <c r="E60" s="103" t="s">
        <v>727</v>
      </c>
      <c r="F60" s="103" t="s">
        <v>656</v>
      </c>
      <c r="G60" s="103">
        <v>6082710016</v>
      </c>
      <c r="H60" s="103" t="s">
        <v>662</v>
      </c>
      <c r="I60" s="103" t="s">
        <v>278</v>
      </c>
      <c r="J60" s="103" t="s">
        <v>658</v>
      </c>
      <c r="K60" s="103" t="s">
        <v>318</v>
      </c>
      <c r="L60" s="104">
        <v>41429</v>
      </c>
      <c r="M60" s="104">
        <v>32253</v>
      </c>
    </row>
    <row r="61" spans="1:13">
      <c r="A61" s="103">
        <v>664388</v>
      </c>
      <c r="B61" s="103" t="s">
        <v>785</v>
      </c>
      <c r="C61" s="103">
        <v>1123326128</v>
      </c>
      <c r="D61" s="103" t="s">
        <v>786</v>
      </c>
      <c r="E61" s="103" t="s">
        <v>655</v>
      </c>
      <c r="F61" s="103" t="s">
        <v>656</v>
      </c>
      <c r="G61" s="103">
        <v>6082710017</v>
      </c>
      <c r="H61" s="103" t="s">
        <v>662</v>
      </c>
      <c r="I61" s="103" t="s">
        <v>406</v>
      </c>
      <c r="J61" s="103" t="s">
        <v>677</v>
      </c>
      <c r="K61" s="103" t="s">
        <v>426</v>
      </c>
      <c r="L61" s="104">
        <v>44166</v>
      </c>
      <c r="M61" s="104">
        <v>33289</v>
      </c>
    </row>
    <row r="62" spans="1:13">
      <c r="A62" s="103">
        <v>496999</v>
      </c>
      <c r="B62" s="103" t="s">
        <v>787</v>
      </c>
      <c r="C62" s="103">
        <v>1075223144</v>
      </c>
      <c r="D62" s="103" t="s">
        <v>788</v>
      </c>
      <c r="E62" s="103" t="s">
        <v>666</v>
      </c>
      <c r="F62" s="103" t="s">
        <v>656</v>
      </c>
      <c r="G62" s="103">
        <v>6082710712</v>
      </c>
      <c r="H62" s="103" t="s">
        <v>662</v>
      </c>
      <c r="I62" s="103" t="s">
        <v>406</v>
      </c>
      <c r="J62" s="103" t="s">
        <v>663</v>
      </c>
      <c r="K62" s="103" t="s">
        <v>292</v>
      </c>
      <c r="L62" s="104">
        <v>40682</v>
      </c>
      <c r="M62" s="104">
        <v>31652</v>
      </c>
    </row>
    <row r="63" spans="1:13">
      <c r="A63" s="103">
        <v>477762</v>
      </c>
      <c r="B63" s="103" t="s">
        <v>789</v>
      </c>
      <c r="C63" s="103">
        <v>8029387</v>
      </c>
      <c r="D63" s="103" t="s">
        <v>790</v>
      </c>
      <c r="E63" s="103" t="s">
        <v>666</v>
      </c>
      <c r="F63" s="103" t="s">
        <v>667</v>
      </c>
      <c r="G63" s="103">
        <v>6082710016</v>
      </c>
      <c r="H63" s="103" t="s">
        <v>662</v>
      </c>
      <c r="I63" s="103" t="s">
        <v>278</v>
      </c>
      <c r="J63" s="103" t="s">
        <v>658</v>
      </c>
      <c r="K63" s="103" t="s">
        <v>447</v>
      </c>
      <c r="L63" s="104">
        <v>40366</v>
      </c>
      <c r="M63" s="104">
        <v>31245</v>
      </c>
    </row>
    <row r="64" spans="1:13">
      <c r="A64" s="103">
        <v>632241</v>
      </c>
      <c r="B64" s="103" t="s">
        <v>791</v>
      </c>
      <c r="C64" s="103">
        <v>1118559468</v>
      </c>
      <c r="D64" s="103" t="s">
        <v>792</v>
      </c>
      <c r="E64" s="103" t="s">
        <v>655</v>
      </c>
      <c r="F64" s="103" t="s">
        <v>656</v>
      </c>
      <c r="G64" s="103">
        <v>6082710016</v>
      </c>
      <c r="H64" s="103" t="s">
        <v>662</v>
      </c>
      <c r="I64" s="103" t="s">
        <v>278</v>
      </c>
      <c r="J64" s="103" t="s">
        <v>658</v>
      </c>
      <c r="K64" s="103" t="s">
        <v>318</v>
      </c>
      <c r="L64" s="104">
        <v>43171</v>
      </c>
      <c r="M64" s="104">
        <v>34605</v>
      </c>
    </row>
    <row r="65" spans="1:13">
      <c r="A65" s="103">
        <v>502607</v>
      </c>
      <c r="B65" s="103" t="s">
        <v>793</v>
      </c>
      <c r="C65" s="103">
        <v>1118541347</v>
      </c>
      <c r="D65" s="103" t="s">
        <v>794</v>
      </c>
      <c r="E65" s="103" t="s">
        <v>727</v>
      </c>
      <c r="F65" s="103" t="s">
        <v>656</v>
      </c>
      <c r="G65" s="103">
        <v>6084210017</v>
      </c>
      <c r="H65" s="103" t="s">
        <v>691</v>
      </c>
      <c r="I65" s="103" t="s">
        <v>406</v>
      </c>
      <c r="J65" s="103" t="s">
        <v>677</v>
      </c>
      <c r="K65" s="103" t="s">
        <v>303</v>
      </c>
      <c r="L65" s="104">
        <v>40759</v>
      </c>
      <c r="M65" s="104">
        <v>32436</v>
      </c>
    </row>
    <row r="66" spans="1:13">
      <c r="A66" s="103">
        <v>462754</v>
      </c>
      <c r="B66" s="103" t="s">
        <v>795</v>
      </c>
      <c r="C66" s="103">
        <v>1080293090</v>
      </c>
      <c r="D66" s="103" t="s">
        <v>796</v>
      </c>
      <c r="E66" s="103" t="s">
        <v>655</v>
      </c>
      <c r="F66" s="103" t="s">
        <v>680</v>
      </c>
      <c r="G66" s="103">
        <v>6082710016</v>
      </c>
      <c r="H66" s="103" t="s">
        <v>662</v>
      </c>
      <c r="I66" s="103" t="s">
        <v>278</v>
      </c>
      <c r="J66" s="103" t="s">
        <v>658</v>
      </c>
      <c r="K66" s="103" t="s">
        <v>471</v>
      </c>
      <c r="L66" s="104">
        <v>44484</v>
      </c>
      <c r="M66" s="104">
        <v>33045</v>
      </c>
    </row>
    <row r="67" spans="1:13">
      <c r="A67" s="103">
        <v>649542</v>
      </c>
      <c r="B67" s="103" t="s">
        <v>797</v>
      </c>
      <c r="C67" s="103">
        <v>1123086396</v>
      </c>
      <c r="D67" s="103" t="s">
        <v>798</v>
      </c>
      <c r="E67" s="103" t="s">
        <v>655</v>
      </c>
      <c r="F67" s="103" t="s">
        <v>680</v>
      </c>
      <c r="G67" s="103">
        <v>6084210712</v>
      </c>
      <c r="H67" s="103" t="s">
        <v>657</v>
      </c>
      <c r="I67" s="103" t="s">
        <v>406</v>
      </c>
      <c r="J67" s="103" t="s">
        <v>663</v>
      </c>
      <c r="K67" s="103" t="s">
        <v>426</v>
      </c>
      <c r="L67" s="104">
        <v>44235</v>
      </c>
      <c r="M67" s="104">
        <v>34211</v>
      </c>
    </row>
    <row r="68" spans="1:13">
      <c r="A68" s="103">
        <v>524629</v>
      </c>
      <c r="B68" s="103" t="s">
        <v>799</v>
      </c>
      <c r="C68" s="103">
        <v>83058875</v>
      </c>
      <c r="D68" s="103" t="s">
        <v>800</v>
      </c>
      <c r="E68" s="103" t="s">
        <v>666</v>
      </c>
      <c r="F68" s="103" t="s">
        <v>656</v>
      </c>
      <c r="G68" s="103">
        <v>6082710017</v>
      </c>
      <c r="H68" s="103" t="s">
        <v>662</v>
      </c>
      <c r="I68" s="103" t="s">
        <v>406</v>
      </c>
      <c r="J68" s="103" t="s">
        <v>677</v>
      </c>
      <c r="K68" s="103" t="s">
        <v>294</v>
      </c>
      <c r="L68" s="104">
        <v>41073</v>
      </c>
      <c r="M68" s="104">
        <v>31295</v>
      </c>
    </row>
    <row r="69" spans="1:13">
      <c r="A69" s="103">
        <v>211037</v>
      </c>
      <c r="B69" s="103" t="s">
        <v>801</v>
      </c>
      <c r="C69" s="103">
        <v>5854143</v>
      </c>
      <c r="D69" s="103" t="s">
        <v>802</v>
      </c>
      <c r="E69" s="103" t="s">
        <v>666</v>
      </c>
      <c r="F69" s="103" t="s">
        <v>656</v>
      </c>
      <c r="G69" s="103">
        <v>6082710017</v>
      </c>
      <c r="H69" s="103" t="s">
        <v>662</v>
      </c>
      <c r="I69" s="103" t="s">
        <v>406</v>
      </c>
      <c r="J69" s="103" t="s">
        <v>677</v>
      </c>
      <c r="K69" s="103" t="s">
        <v>281</v>
      </c>
      <c r="L69" s="104">
        <v>36733</v>
      </c>
      <c r="M69" s="104">
        <v>26879</v>
      </c>
    </row>
    <row r="70" spans="1:13">
      <c r="A70" s="103">
        <v>653820</v>
      </c>
      <c r="B70" s="103" t="s">
        <v>803</v>
      </c>
      <c r="C70" s="103">
        <v>1096217241</v>
      </c>
      <c r="D70" s="103" t="s">
        <v>804</v>
      </c>
      <c r="E70" s="103" t="s">
        <v>655</v>
      </c>
      <c r="F70" s="103" t="s">
        <v>680</v>
      </c>
      <c r="G70" s="103">
        <v>6084210017</v>
      </c>
      <c r="H70" s="103" t="s">
        <v>698</v>
      </c>
      <c r="I70" s="103" t="s">
        <v>406</v>
      </c>
      <c r="J70" s="103" t="s">
        <v>677</v>
      </c>
      <c r="K70" s="103" t="s">
        <v>426</v>
      </c>
      <c r="L70" s="104">
        <v>44572</v>
      </c>
      <c r="M70" s="104">
        <v>33817</v>
      </c>
    </row>
    <row r="71" spans="1:13">
      <c r="A71" s="103">
        <v>644723</v>
      </c>
      <c r="B71" s="103" t="s">
        <v>805</v>
      </c>
      <c r="C71" s="103">
        <v>1120504040</v>
      </c>
      <c r="D71" s="103" t="s">
        <v>806</v>
      </c>
      <c r="E71" s="103" t="s">
        <v>655</v>
      </c>
      <c r="F71" s="103" t="s">
        <v>656</v>
      </c>
      <c r="G71" s="103">
        <v>6084210712</v>
      </c>
      <c r="H71" s="103" t="s">
        <v>691</v>
      </c>
      <c r="I71" s="103" t="s">
        <v>406</v>
      </c>
      <c r="J71" s="103" t="s">
        <v>663</v>
      </c>
      <c r="K71" s="103" t="s">
        <v>392</v>
      </c>
      <c r="L71" s="104">
        <v>43353</v>
      </c>
      <c r="M71" s="104">
        <v>34613</v>
      </c>
    </row>
    <row r="72" spans="1:13">
      <c r="A72" s="103">
        <v>211104</v>
      </c>
      <c r="B72" s="103" t="s">
        <v>807</v>
      </c>
      <c r="C72" s="103">
        <v>12209293</v>
      </c>
      <c r="D72" s="103" t="s">
        <v>1115</v>
      </c>
      <c r="E72" s="103" t="s">
        <v>666</v>
      </c>
      <c r="F72" s="103" t="s">
        <v>667</v>
      </c>
      <c r="G72" s="103">
        <v>6082710017</v>
      </c>
      <c r="H72" s="103" t="s">
        <v>662</v>
      </c>
      <c r="I72" s="103" t="s">
        <v>406</v>
      </c>
      <c r="J72" s="103" t="s">
        <v>677</v>
      </c>
      <c r="K72" s="103" t="s">
        <v>281</v>
      </c>
      <c r="L72" s="104">
        <v>36740</v>
      </c>
      <c r="M72" s="104">
        <v>28525</v>
      </c>
    </row>
    <row r="73" spans="1:13">
      <c r="A73" s="103">
        <v>685425</v>
      </c>
      <c r="B73" s="103" t="s">
        <v>808</v>
      </c>
      <c r="C73" s="103">
        <v>1115912352</v>
      </c>
      <c r="D73" s="103" t="s">
        <v>809</v>
      </c>
      <c r="E73" s="103" t="s">
        <v>655</v>
      </c>
      <c r="F73" s="103" t="s">
        <v>656</v>
      </c>
      <c r="G73" s="103">
        <v>6082810017</v>
      </c>
      <c r="H73" s="103" t="s">
        <v>674</v>
      </c>
      <c r="I73" s="103" t="s">
        <v>406</v>
      </c>
      <c r="J73" s="103" t="s">
        <v>677</v>
      </c>
      <c r="K73" s="103" t="s">
        <v>426</v>
      </c>
      <c r="L73" s="104">
        <v>44536</v>
      </c>
      <c r="M73" s="104">
        <v>32839</v>
      </c>
    </row>
    <row r="74" spans="1:13">
      <c r="A74" s="103">
        <v>447148</v>
      </c>
      <c r="B74" s="103" t="s">
        <v>810</v>
      </c>
      <c r="C74" s="103">
        <v>83224841</v>
      </c>
      <c r="D74" s="103" t="s">
        <v>811</v>
      </c>
      <c r="E74" s="103" t="s">
        <v>727</v>
      </c>
      <c r="F74" s="103" t="s">
        <v>656</v>
      </c>
      <c r="G74" s="103">
        <v>6082710016</v>
      </c>
      <c r="H74" s="103" t="s">
        <v>662</v>
      </c>
      <c r="I74" s="103" t="s">
        <v>278</v>
      </c>
      <c r="J74" s="103" t="s">
        <v>658</v>
      </c>
      <c r="K74" s="103" t="s">
        <v>292</v>
      </c>
      <c r="L74" s="104">
        <v>39552</v>
      </c>
      <c r="M74" s="104">
        <v>27155</v>
      </c>
    </row>
    <row r="75" spans="1:13">
      <c r="A75" s="103">
        <v>485556</v>
      </c>
      <c r="B75" s="103" t="s">
        <v>812</v>
      </c>
      <c r="C75" s="103">
        <v>1079389456</v>
      </c>
      <c r="D75" s="103" t="s">
        <v>813</v>
      </c>
      <c r="E75" s="103" t="s">
        <v>727</v>
      </c>
      <c r="F75" s="103" t="s">
        <v>656</v>
      </c>
      <c r="G75" s="103">
        <v>6082710017</v>
      </c>
      <c r="H75" s="103" t="s">
        <v>662</v>
      </c>
      <c r="I75" s="103" t="s">
        <v>406</v>
      </c>
      <c r="J75" s="103" t="s">
        <v>677</v>
      </c>
      <c r="K75" s="103" t="s">
        <v>303</v>
      </c>
      <c r="L75" s="104">
        <v>40484</v>
      </c>
      <c r="M75" s="104">
        <v>33089</v>
      </c>
    </row>
    <row r="76" spans="1:13">
      <c r="A76" s="103">
        <v>535490</v>
      </c>
      <c r="B76" s="103" t="s">
        <v>814</v>
      </c>
      <c r="C76" s="103">
        <v>83238238</v>
      </c>
      <c r="D76" s="103" t="s">
        <v>815</v>
      </c>
      <c r="E76" s="103" t="s">
        <v>666</v>
      </c>
      <c r="F76" s="103" t="s">
        <v>680</v>
      </c>
      <c r="G76" s="103">
        <v>6082710016</v>
      </c>
      <c r="H76" s="103" t="s">
        <v>662</v>
      </c>
      <c r="I76" s="103" t="s">
        <v>278</v>
      </c>
      <c r="J76" s="103" t="s">
        <v>658</v>
      </c>
      <c r="K76" s="103" t="s">
        <v>288</v>
      </c>
      <c r="L76" s="104">
        <v>41246</v>
      </c>
      <c r="M76" s="104">
        <v>31340</v>
      </c>
    </row>
    <row r="77" spans="1:13">
      <c r="A77" s="103">
        <v>607399</v>
      </c>
      <c r="B77" s="103" t="s">
        <v>816</v>
      </c>
      <c r="C77" s="103">
        <v>7724348</v>
      </c>
      <c r="D77" s="103" t="s">
        <v>817</v>
      </c>
      <c r="E77" s="103" t="s">
        <v>655</v>
      </c>
      <c r="F77" s="103" t="s">
        <v>656</v>
      </c>
      <c r="G77" s="103">
        <v>6082710712</v>
      </c>
      <c r="H77" s="103" t="s">
        <v>662</v>
      </c>
      <c r="I77" s="103" t="s">
        <v>406</v>
      </c>
      <c r="J77" s="103" t="s">
        <v>663</v>
      </c>
      <c r="K77" s="103" t="s">
        <v>318</v>
      </c>
      <c r="L77" s="104">
        <v>42675</v>
      </c>
      <c r="M77" s="104">
        <v>30490</v>
      </c>
    </row>
    <row r="78" spans="1:13">
      <c r="A78" s="103">
        <v>680186</v>
      </c>
      <c r="B78" s="103" t="s">
        <v>818</v>
      </c>
      <c r="C78" s="103">
        <v>1075276146</v>
      </c>
      <c r="D78" s="103" t="s">
        <v>819</v>
      </c>
      <c r="E78" s="103" t="s">
        <v>666</v>
      </c>
      <c r="F78" s="103" t="s">
        <v>680</v>
      </c>
      <c r="G78" s="103">
        <v>6082710017</v>
      </c>
      <c r="H78" s="103" t="s">
        <v>662</v>
      </c>
      <c r="I78" s="103" t="s">
        <v>406</v>
      </c>
      <c r="J78" s="103" t="s">
        <v>677</v>
      </c>
      <c r="K78" s="103" t="s">
        <v>595</v>
      </c>
      <c r="L78" s="104">
        <v>44389</v>
      </c>
      <c r="M78" s="104">
        <v>34321</v>
      </c>
    </row>
    <row r="79" spans="1:13">
      <c r="A79" s="103">
        <v>476023</v>
      </c>
      <c r="B79" s="103" t="s">
        <v>820</v>
      </c>
      <c r="C79" s="103">
        <v>7725305</v>
      </c>
      <c r="D79" s="103" t="s">
        <v>821</v>
      </c>
      <c r="E79" s="103" t="s">
        <v>666</v>
      </c>
      <c r="F79" s="103" t="s">
        <v>656</v>
      </c>
      <c r="G79" s="103">
        <v>6082710712</v>
      </c>
      <c r="H79" s="103" t="s">
        <v>662</v>
      </c>
      <c r="I79" s="103" t="s">
        <v>406</v>
      </c>
      <c r="J79" s="103" t="s">
        <v>663</v>
      </c>
      <c r="K79" s="103" t="s">
        <v>334</v>
      </c>
      <c r="L79" s="104">
        <v>40339</v>
      </c>
      <c r="M79" s="104">
        <v>30594</v>
      </c>
    </row>
    <row r="80" spans="1:13">
      <c r="A80" s="103">
        <v>393023</v>
      </c>
      <c r="B80" s="103" t="s">
        <v>822</v>
      </c>
      <c r="C80" s="103">
        <v>7706507</v>
      </c>
      <c r="D80" s="103" t="s">
        <v>823</v>
      </c>
      <c r="E80" s="103" t="s">
        <v>666</v>
      </c>
      <c r="F80" s="103" t="s">
        <v>656</v>
      </c>
      <c r="G80" s="103">
        <v>6082710712</v>
      </c>
      <c r="H80" s="103" t="s">
        <v>662</v>
      </c>
      <c r="I80" s="103" t="s">
        <v>406</v>
      </c>
      <c r="J80" s="103" t="s">
        <v>663</v>
      </c>
      <c r="K80" s="103" t="s">
        <v>288</v>
      </c>
      <c r="L80" s="104">
        <v>43109</v>
      </c>
      <c r="M80" s="104">
        <v>28466</v>
      </c>
    </row>
    <row r="81" spans="1:13">
      <c r="A81" s="103">
        <v>683182</v>
      </c>
      <c r="B81" s="103" t="s">
        <v>824</v>
      </c>
      <c r="C81" s="103">
        <v>72262065</v>
      </c>
      <c r="D81" s="103" t="s">
        <v>825</v>
      </c>
      <c r="E81" s="103" t="s">
        <v>655</v>
      </c>
      <c r="F81" s="103" t="s">
        <v>680</v>
      </c>
      <c r="G81" s="103">
        <v>6084210016</v>
      </c>
      <c r="H81" s="103" t="s">
        <v>691</v>
      </c>
      <c r="I81" s="103" t="s">
        <v>278</v>
      </c>
      <c r="J81" s="103" t="s">
        <v>658</v>
      </c>
      <c r="K81" s="103" t="s">
        <v>392</v>
      </c>
      <c r="L81" s="104">
        <v>44473</v>
      </c>
      <c r="M81" s="104">
        <v>29846</v>
      </c>
    </row>
    <row r="82" spans="1:13">
      <c r="A82" s="103">
        <v>637461</v>
      </c>
      <c r="B82" s="103" t="s">
        <v>826</v>
      </c>
      <c r="C82" s="103">
        <v>86088548</v>
      </c>
      <c r="D82" s="103" t="s">
        <v>827</v>
      </c>
      <c r="E82" s="103" t="s">
        <v>655</v>
      </c>
      <c r="F82" s="103" t="s">
        <v>656</v>
      </c>
      <c r="G82" s="103">
        <v>6084210017</v>
      </c>
      <c r="H82" s="103" t="s">
        <v>691</v>
      </c>
      <c r="I82" s="103" t="s">
        <v>406</v>
      </c>
      <c r="J82" s="103" t="s">
        <v>677</v>
      </c>
      <c r="K82" s="103" t="s">
        <v>426</v>
      </c>
      <c r="L82" s="104">
        <v>44176</v>
      </c>
      <c r="M82" s="104">
        <v>31311</v>
      </c>
    </row>
    <row r="83" spans="1:13">
      <c r="A83" s="103">
        <v>535491</v>
      </c>
      <c r="B83" s="103" t="s">
        <v>828</v>
      </c>
      <c r="C83" s="103">
        <v>83091918</v>
      </c>
      <c r="D83" s="103" t="s">
        <v>829</v>
      </c>
      <c r="E83" s="103" t="s">
        <v>666</v>
      </c>
      <c r="F83" s="103" t="s">
        <v>680</v>
      </c>
      <c r="G83" s="103">
        <v>6082710712</v>
      </c>
      <c r="H83" s="103" t="s">
        <v>662</v>
      </c>
      <c r="I83" s="103" t="s">
        <v>406</v>
      </c>
      <c r="J83" s="103" t="s">
        <v>663</v>
      </c>
      <c r="K83" s="103" t="s">
        <v>277</v>
      </c>
      <c r="L83" s="104">
        <v>41246</v>
      </c>
      <c r="M83" s="104">
        <v>29710</v>
      </c>
    </row>
    <row r="84" spans="1:13">
      <c r="A84" s="103">
        <v>276469</v>
      </c>
      <c r="B84" s="103" t="s">
        <v>830</v>
      </c>
      <c r="C84" s="103">
        <v>93152901</v>
      </c>
      <c r="D84" s="103" t="s">
        <v>831</v>
      </c>
      <c r="E84" s="103" t="s">
        <v>666</v>
      </c>
      <c r="F84" s="103" t="s">
        <v>656</v>
      </c>
      <c r="G84" s="103">
        <v>6084210017</v>
      </c>
      <c r="H84" s="103" t="s">
        <v>691</v>
      </c>
      <c r="I84" s="103" t="s">
        <v>406</v>
      </c>
      <c r="J84" s="103" t="s">
        <v>677</v>
      </c>
      <c r="K84" s="103" t="s">
        <v>390</v>
      </c>
      <c r="L84" s="104">
        <v>37656</v>
      </c>
      <c r="M84" s="104">
        <v>27122</v>
      </c>
    </row>
    <row r="85" spans="1:13">
      <c r="A85" s="103">
        <v>681525</v>
      </c>
      <c r="B85" s="103" t="s">
        <v>832</v>
      </c>
      <c r="C85" s="103">
        <v>1098699441</v>
      </c>
      <c r="D85" s="103" t="s">
        <v>833</v>
      </c>
      <c r="E85" s="103" t="s">
        <v>655</v>
      </c>
      <c r="F85" s="103" t="s">
        <v>656</v>
      </c>
      <c r="G85" s="103">
        <v>6084210017</v>
      </c>
      <c r="H85" s="103" t="s">
        <v>698</v>
      </c>
      <c r="I85" s="103" t="s">
        <v>406</v>
      </c>
      <c r="J85" s="103" t="s">
        <v>677</v>
      </c>
      <c r="K85" s="103" t="s">
        <v>426</v>
      </c>
      <c r="L85" s="104">
        <v>44425</v>
      </c>
      <c r="M85" s="104">
        <v>33236</v>
      </c>
    </row>
    <row r="86" spans="1:13">
      <c r="A86" s="103">
        <v>666906</v>
      </c>
      <c r="B86" s="103" t="s">
        <v>834</v>
      </c>
      <c r="C86" s="103">
        <v>1075210629</v>
      </c>
      <c r="D86" s="103" t="s">
        <v>835</v>
      </c>
      <c r="E86" s="103" t="s">
        <v>655</v>
      </c>
      <c r="F86" s="103" t="s">
        <v>656</v>
      </c>
      <c r="G86" s="103">
        <v>6084210017</v>
      </c>
      <c r="H86" s="103" t="s">
        <v>691</v>
      </c>
      <c r="I86" s="103" t="s">
        <v>406</v>
      </c>
      <c r="J86" s="103" t="s">
        <v>677</v>
      </c>
      <c r="K86" s="103" t="s">
        <v>426</v>
      </c>
      <c r="L86" s="104">
        <v>43843</v>
      </c>
      <c r="M86" s="104">
        <v>31483</v>
      </c>
    </row>
    <row r="87" spans="1:13">
      <c r="A87" s="103">
        <v>678210</v>
      </c>
      <c r="B87" s="103" t="s">
        <v>836</v>
      </c>
      <c r="C87" s="103">
        <v>1201900</v>
      </c>
      <c r="D87" s="103" t="s">
        <v>837</v>
      </c>
      <c r="E87" s="103" t="s">
        <v>838</v>
      </c>
      <c r="F87" s="103" t="s">
        <v>839</v>
      </c>
      <c r="G87" s="103">
        <v>6082570700</v>
      </c>
      <c r="H87" s="103" t="s">
        <v>668</v>
      </c>
      <c r="I87" s="103" t="s">
        <v>278</v>
      </c>
      <c r="J87" s="103" t="s">
        <v>736</v>
      </c>
      <c r="K87" s="103" t="s">
        <v>422</v>
      </c>
      <c r="L87" s="104">
        <v>44334</v>
      </c>
      <c r="M87" s="104">
        <v>29513</v>
      </c>
    </row>
    <row r="88" spans="1:13">
      <c r="A88" s="103">
        <v>477874</v>
      </c>
      <c r="B88" s="103" t="s">
        <v>840</v>
      </c>
      <c r="C88" s="103">
        <v>7722421</v>
      </c>
      <c r="D88" s="103" t="s">
        <v>841</v>
      </c>
      <c r="E88" s="103" t="s">
        <v>727</v>
      </c>
      <c r="F88" s="103" t="s">
        <v>656</v>
      </c>
      <c r="G88" s="103">
        <v>6082710017</v>
      </c>
      <c r="H88" s="103" t="s">
        <v>662</v>
      </c>
      <c r="I88" s="103" t="s">
        <v>406</v>
      </c>
      <c r="J88" s="103" t="s">
        <v>677</v>
      </c>
      <c r="K88" s="103" t="s">
        <v>308</v>
      </c>
      <c r="L88" s="104">
        <v>40367</v>
      </c>
      <c r="M88" s="104">
        <v>30333</v>
      </c>
    </row>
    <row r="89" spans="1:13">
      <c r="A89" s="103">
        <v>586766</v>
      </c>
      <c r="B89" s="103" t="s">
        <v>842</v>
      </c>
      <c r="C89" s="103">
        <v>1079177204</v>
      </c>
      <c r="D89" s="103" t="s">
        <v>843</v>
      </c>
      <c r="E89" s="103" t="s">
        <v>655</v>
      </c>
      <c r="F89" s="103" t="s">
        <v>656</v>
      </c>
      <c r="G89" s="103">
        <v>6082710016</v>
      </c>
      <c r="H89" s="103" t="s">
        <v>662</v>
      </c>
      <c r="I89" s="103" t="s">
        <v>278</v>
      </c>
      <c r="J89" s="103" t="s">
        <v>658</v>
      </c>
      <c r="K89" s="103" t="s">
        <v>292</v>
      </c>
      <c r="L89" s="104">
        <v>42675</v>
      </c>
      <c r="M89" s="104">
        <v>32601</v>
      </c>
    </row>
    <row r="90" spans="1:13">
      <c r="A90" s="103">
        <v>655131</v>
      </c>
      <c r="B90" s="103" t="s">
        <v>844</v>
      </c>
      <c r="C90" s="103">
        <v>1121914980</v>
      </c>
      <c r="D90" s="103" t="s">
        <v>845</v>
      </c>
      <c r="E90" s="103" t="s">
        <v>655</v>
      </c>
      <c r="F90" s="103" t="s">
        <v>656</v>
      </c>
      <c r="G90" s="103">
        <v>6084210016</v>
      </c>
      <c r="H90" s="103" t="s">
        <v>691</v>
      </c>
      <c r="I90" s="103" t="s">
        <v>278</v>
      </c>
      <c r="J90" s="103" t="s">
        <v>658</v>
      </c>
      <c r="K90" s="103" t="s">
        <v>318</v>
      </c>
      <c r="L90" s="104">
        <v>44180</v>
      </c>
      <c r="M90" s="104">
        <v>34570</v>
      </c>
    </row>
    <row r="91" spans="1:13">
      <c r="A91" s="103">
        <v>676142</v>
      </c>
      <c r="B91" s="103" t="s">
        <v>846</v>
      </c>
      <c r="C91" s="103">
        <v>1123511879</v>
      </c>
      <c r="D91" s="103" t="s">
        <v>847</v>
      </c>
      <c r="E91" s="103" t="s">
        <v>655</v>
      </c>
      <c r="F91" s="103" t="s">
        <v>656</v>
      </c>
      <c r="G91" s="103">
        <v>6084210016</v>
      </c>
      <c r="H91" s="103" t="s">
        <v>691</v>
      </c>
      <c r="I91" s="103" t="s">
        <v>278</v>
      </c>
      <c r="J91" s="103" t="s">
        <v>658</v>
      </c>
      <c r="K91" s="103" t="s">
        <v>392</v>
      </c>
      <c r="L91" s="104">
        <v>44256</v>
      </c>
      <c r="M91" s="104">
        <v>33763</v>
      </c>
    </row>
    <row r="92" spans="1:13">
      <c r="A92" s="103">
        <v>584459</v>
      </c>
      <c r="B92" s="103" t="s">
        <v>848</v>
      </c>
      <c r="C92" s="103">
        <v>98074121</v>
      </c>
      <c r="D92" s="103" t="s">
        <v>849</v>
      </c>
      <c r="E92" s="103" t="s">
        <v>655</v>
      </c>
      <c r="F92" s="103" t="s">
        <v>680</v>
      </c>
      <c r="G92" s="103">
        <v>6082710017</v>
      </c>
      <c r="H92" s="103" t="s">
        <v>662</v>
      </c>
      <c r="I92" s="103" t="s">
        <v>406</v>
      </c>
      <c r="J92" s="103" t="s">
        <v>677</v>
      </c>
      <c r="K92" s="103" t="s">
        <v>308</v>
      </c>
      <c r="L92" s="104">
        <v>43143</v>
      </c>
      <c r="M92" s="104">
        <v>30677</v>
      </c>
    </row>
    <row r="93" spans="1:13">
      <c r="A93" s="103">
        <v>540699</v>
      </c>
      <c r="B93" s="103" t="s">
        <v>850</v>
      </c>
      <c r="C93" s="103">
        <v>1118551684</v>
      </c>
      <c r="D93" s="103" t="s">
        <v>851</v>
      </c>
      <c r="E93" s="103" t="s">
        <v>666</v>
      </c>
      <c r="F93" s="103" t="s">
        <v>656</v>
      </c>
      <c r="G93" s="103">
        <v>6082810059</v>
      </c>
      <c r="H93" s="103" t="s">
        <v>674</v>
      </c>
      <c r="I93" s="103" t="s">
        <v>406</v>
      </c>
      <c r="J93" s="103" t="s">
        <v>852</v>
      </c>
      <c r="K93" s="103" t="s">
        <v>303</v>
      </c>
      <c r="L93" s="104">
        <v>41519</v>
      </c>
      <c r="M93" s="104">
        <v>33824</v>
      </c>
    </row>
    <row r="94" spans="1:13">
      <c r="A94" s="103">
        <v>637610</v>
      </c>
      <c r="B94" s="103" t="s">
        <v>853</v>
      </c>
      <c r="C94" s="103">
        <v>1127075054</v>
      </c>
      <c r="D94" s="103" t="s">
        <v>854</v>
      </c>
      <c r="E94" s="103" t="s">
        <v>655</v>
      </c>
      <c r="F94" s="103" t="s">
        <v>680</v>
      </c>
      <c r="G94" s="103">
        <v>6082710712</v>
      </c>
      <c r="H94" s="103" t="s">
        <v>662</v>
      </c>
      <c r="I94" s="103" t="s">
        <v>406</v>
      </c>
      <c r="J94" s="103" t="s">
        <v>663</v>
      </c>
      <c r="K94" s="103" t="s">
        <v>392</v>
      </c>
      <c r="L94" s="104">
        <v>44242</v>
      </c>
      <c r="M94" s="104">
        <v>34013</v>
      </c>
    </row>
    <row r="95" spans="1:13">
      <c r="A95" s="103">
        <v>685426</v>
      </c>
      <c r="B95" s="103" t="s">
        <v>855</v>
      </c>
      <c r="C95" s="103">
        <v>80036064</v>
      </c>
      <c r="D95" s="103" t="s">
        <v>856</v>
      </c>
      <c r="E95" s="103" t="s">
        <v>655</v>
      </c>
      <c r="F95" s="103" t="s">
        <v>656</v>
      </c>
      <c r="G95" s="103">
        <v>6082710017</v>
      </c>
      <c r="H95" s="103" t="s">
        <v>662</v>
      </c>
      <c r="I95" s="103" t="s">
        <v>406</v>
      </c>
      <c r="J95" s="103" t="s">
        <v>677</v>
      </c>
      <c r="K95" s="103" t="s">
        <v>426</v>
      </c>
      <c r="L95" s="104">
        <v>44536</v>
      </c>
      <c r="M95" s="104">
        <v>30284</v>
      </c>
    </row>
    <row r="96" spans="1:13">
      <c r="A96" s="103">
        <v>457290</v>
      </c>
      <c r="B96" s="103" t="s">
        <v>857</v>
      </c>
      <c r="C96" s="103">
        <v>7720516</v>
      </c>
      <c r="D96" s="103" t="s">
        <v>858</v>
      </c>
      <c r="E96" s="103" t="s">
        <v>655</v>
      </c>
      <c r="F96" s="103" t="s">
        <v>656</v>
      </c>
      <c r="G96" s="103">
        <v>6084210017</v>
      </c>
      <c r="H96" s="103" t="s">
        <v>657</v>
      </c>
      <c r="I96" s="103" t="s">
        <v>406</v>
      </c>
      <c r="J96" s="103" t="s">
        <v>677</v>
      </c>
      <c r="K96" s="103" t="s">
        <v>391</v>
      </c>
      <c r="L96" s="104">
        <v>43171</v>
      </c>
      <c r="M96" s="104">
        <v>30052</v>
      </c>
    </row>
    <row r="97" spans="1:13">
      <c r="A97" s="103">
        <v>544958</v>
      </c>
      <c r="B97" s="103" t="s">
        <v>859</v>
      </c>
      <c r="C97" s="103">
        <v>1082214681</v>
      </c>
      <c r="D97" s="103" t="s">
        <v>860</v>
      </c>
      <c r="E97" s="103" t="s">
        <v>666</v>
      </c>
      <c r="F97" s="103" t="s">
        <v>656</v>
      </c>
      <c r="G97" s="103">
        <v>6082710017</v>
      </c>
      <c r="H97" s="103" t="s">
        <v>662</v>
      </c>
      <c r="I97" s="103" t="s">
        <v>406</v>
      </c>
      <c r="J97" s="103" t="s">
        <v>677</v>
      </c>
      <c r="K97" s="103" t="s">
        <v>294</v>
      </c>
      <c r="L97" s="104">
        <v>41400</v>
      </c>
      <c r="M97" s="104">
        <v>32403</v>
      </c>
    </row>
    <row r="98" spans="1:13">
      <c r="A98" s="103">
        <v>688932</v>
      </c>
      <c r="B98" s="103" t="s">
        <v>1116</v>
      </c>
      <c r="C98" s="103">
        <v>1099548177</v>
      </c>
      <c r="D98" s="103" t="s">
        <v>1117</v>
      </c>
      <c r="E98" s="103" t="s">
        <v>655</v>
      </c>
      <c r="F98" s="103" t="s">
        <v>656</v>
      </c>
      <c r="G98" s="103">
        <v>6084210017</v>
      </c>
      <c r="H98" s="103" t="s">
        <v>698</v>
      </c>
      <c r="I98" s="103" t="s">
        <v>406</v>
      </c>
      <c r="J98" s="103" t="s">
        <v>677</v>
      </c>
      <c r="K98" s="103" t="s">
        <v>426</v>
      </c>
      <c r="L98" s="104">
        <v>44627</v>
      </c>
      <c r="M98" s="104">
        <v>33402</v>
      </c>
    </row>
    <row r="99" spans="1:13">
      <c r="A99" s="103">
        <v>685478</v>
      </c>
      <c r="B99" s="103" t="s">
        <v>861</v>
      </c>
      <c r="C99" s="103">
        <v>1127075641</v>
      </c>
      <c r="D99" s="103" t="s">
        <v>862</v>
      </c>
      <c r="E99" s="103" t="s">
        <v>655</v>
      </c>
      <c r="F99" s="103" t="s">
        <v>656</v>
      </c>
      <c r="G99" s="103">
        <v>6082710017</v>
      </c>
      <c r="H99" s="103" t="s">
        <v>662</v>
      </c>
      <c r="I99" s="103" t="s">
        <v>406</v>
      </c>
      <c r="J99" s="103" t="s">
        <v>677</v>
      </c>
      <c r="K99" s="103" t="s">
        <v>426</v>
      </c>
      <c r="L99" s="104">
        <v>44536</v>
      </c>
      <c r="M99" s="104">
        <v>34298</v>
      </c>
    </row>
    <row r="100" spans="1:13">
      <c r="A100" s="103">
        <v>621704</v>
      </c>
      <c r="B100" s="103" t="s">
        <v>863</v>
      </c>
      <c r="C100" s="103">
        <v>7724263</v>
      </c>
      <c r="D100" s="103" t="s">
        <v>864</v>
      </c>
      <c r="E100" s="103" t="s">
        <v>655</v>
      </c>
      <c r="F100" s="103" t="s">
        <v>656</v>
      </c>
      <c r="G100" s="103">
        <v>6082710712</v>
      </c>
      <c r="H100" s="103" t="s">
        <v>662</v>
      </c>
      <c r="I100" s="103" t="s">
        <v>406</v>
      </c>
      <c r="J100" s="103" t="s">
        <v>663</v>
      </c>
      <c r="K100" s="103" t="s">
        <v>318</v>
      </c>
      <c r="L100" s="104">
        <v>43164</v>
      </c>
      <c r="M100" s="104">
        <v>30626</v>
      </c>
    </row>
    <row r="101" spans="1:13">
      <c r="A101" s="103">
        <v>460691</v>
      </c>
      <c r="B101" s="103" t="s">
        <v>865</v>
      </c>
      <c r="C101" s="103">
        <v>83243715</v>
      </c>
      <c r="D101" s="103" t="s">
        <v>866</v>
      </c>
      <c r="E101" s="103" t="s">
        <v>666</v>
      </c>
      <c r="F101" s="103" t="s">
        <v>656</v>
      </c>
      <c r="G101" s="103">
        <v>6082710016</v>
      </c>
      <c r="H101" s="103" t="s">
        <v>662</v>
      </c>
      <c r="I101" s="103" t="s">
        <v>278</v>
      </c>
      <c r="J101" s="103" t="s">
        <v>658</v>
      </c>
      <c r="K101" s="103" t="s">
        <v>288</v>
      </c>
      <c r="L101" s="104">
        <v>43073</v>
      </c>
      <c r="M101" s="104">
        <v>30424</v>
      </c>
    </row>
    <row r="102" spans="1:13">
      <c r="A102" s="103">
        <v>502604</v>
      </c>
      <c r="B102" s="103" t="s">
        <v>867</v>
      </c>
      <c r="C102" s="103">
        <v>74866184</v>
      </c>
      <c r="D102" s="103" t="s">
        <v>868</v>
      </c>
      <c r="E102" s="103" t="s">
        <v>727</v>
      </c>
      <c r="F102" s="103" t="s">
        <v>656</v>
      </c>
      <c r="G102" s="103">
        <v>6082810017</v>
      </c>
      <c r="H102" s="103" t="s">
        <v>674</v>
      </c>
      <c r="I102" s="103" t="s">
        <v>406</v>
      </c>
      <c r="J102" s="103" t="s">
        <v>677</v>
      </c>
      <c r="K102" s="103" t="s">
        <v>303</v>
      </c>
      <c r="L102" s="104">
        <v>40759</v>
      </c>
      <c r="M102" s="104">
        <v>30445</v>
      </c>
    </row>
    <row r="103" spans="1:13">
      <c r="A103" s="103">
        <v>671287</v>
      </c>
      <c r="B103" s="103" t="s">
        <v>869</v>
      </c>
      <c r="C103" s="103">
        <v>8731234</v>
      </c>
      <c r="D103" s="103" t="s">
        <v>870</v>
      </c>
      <c r="E103" s="103" t="s">
        <v>655</v>
      </c>
      <c r="F103" s="103" t="s">
        <v>656</v>
      </c>
      <c r="G103" s="103">
        <v>6082710014</v>
      </c>
      <c r="H103" s="103" t="s">
        <v>662</v>
      </c>
      <c r="I103" s="103" t="s">
        <v>406</v>
      </c>
      <c r="J103" s="103" t="s">
        <v>709</v>
      </c>
      <c r="K103" s="103" t="s">
        <v>528</v>
      </c>
      <c r="L103" s="104">
        <v>44067</v>
      </c>
      <c r="M103" s="104">
        <v>22758</v>
      </c>
    </row>
    <row r="104" spans="1:13">
      <c r="A104" s="103">
        <v>629078</v>
      </c>
      <c r="B104" s="103" t="s">
        <v>871</v>
      </c>
      <c r="C104" s="103">
        <v>1098664025</v>
      </c>
      <c r="D104" s="103" t="s">
        <v>872</v>
      </c>
      <c r="E104" s="103" t="s">
        <v>666</v>
      </c>
      <c r="F104" s="103" t="s">
        <v>656</v>
      </c>
      <c r="G104" s="103">
        <v>6082710017</v>
      </c>
      <c r="H104" s="103" t="s">
        <v>662</v>
      </c>
      <c r="I104" s="103" t="s">
        <v>406</v>
      </c>
      <c r="J104" s="103" t="s">
        <v>677</v>
      </c>
      <c r="K104" s="103" t="s">
        <v>481</v>
      </c>
      <c r="L104" s="104">
        <v>43109</v>
      </c>
      <c r="M104" s="104">
        <v>32513</v>
      </c>
    </row>
    <row r="105" spans="1:13">
      <c r="A105" s="103">
        <v>490890</v>
      </c>
      <c r="B105" s="103" t="s">
        <v>873</v>
      </c>
      <c r="C105" s="103">
        <v>1081155139</v>
      </c>
      <c r="D105" s="103" t="s">
        <v>874</v>
      </c>
      <c r="E105" s="103" t="s">
        <v>655</v>
      </c>
      <c r="F105" s="103" t="s">
        <v>656</v>
      </c>
      <c r="G105" s="103">
        <v>6082710017</v>
      </c>
      <c r="H105" s="103" t="s">
        <v>662</v>
      </c>
      <c r="I105" s="103" t="s">
        <v>406</v>
      </c>
      <c r="J105" s="103" t="s">
        <v>677</v>
      </c>
      <c r="K105" s="103" t="s">
        <v>303</v>
      </c>
      <c r="L105" s="104">
        <v>43164</v>
      </c>
      <c r="M105" s="104">
        <v>32766</v>
      </c>
    </row>
    <row r="106" spans="1:13">
      <c r="A106" s="103">
        <v>544957</v>
      </c>
      <c r="B106" s="103" t="s">
        <v>875</v>
      </c>
      <c r="C106" s="103">
        <v>1079179572</v>
      </c>
      <c r="D106" s="103" t="s">
        <v>876</v>
      </c>
      <c r="E106" s="103" t="s">
        <v>655</v>
      </c>
      <c r="F106" s="103" t="s">
        <v>656</v>
      </c>
      <c r="G106" s="103">
        <v>6082710017</v>
      </c>
      <c r="H106" s="103" t="s">
        <v>662</v>
      </c>
      <c r="I106" s="103" t="s">
        <v>406</v>
      </c>
      <c r="J106" s="103" t="s">
        <v>677</v>
      </c>
      <c r="K106" s="103" t="s">
        <v>308</v>
      </c>
      <c r="L106" s="104">
        <v>42682</v>
      </c>
      <c r="M106" s="104">
        <v>33621</v>
      </c>
    </row>
    <row r="107" spans="1:13">
      <c r="A107" s="103">
        <v>663917</v>
      </c>
      <c r="B107" s="103" t="s">
        <v>877</v>
      </c>
      <c r="C107" s="103">
        <v>1096227016</v>
      </c>
      <c r="D107" s="103" t="s">
        <v>878</v>
      </c>
      <c r="E107" s="103" t="s">
        <v>655</v>
      </c>
      <c r="F107" s="103" t="s">
        <v>656</v>
      </c>
      <c r="G107" s="103">
        <v>6084210017</v>
      </c>
      <c r="H107" s="103" t="s">
        <v>698</v>
      </c>
      <c r="I107" s="103" t="s">
        <v>406</v>
      </c>
      <c r="J107" s="103" t="s">
        <v>677</v>
      </c>
      <c r="K107" s="103" t="s">
        <v>426</v>
      </c>
      <c r="L107" s="104">
        <v>43753</v>
      </c>
      <c r="M107" s="104">
        <v>34416</v>
      </c>
    </row>
    <row r="108" spans="1:13">
      <c r="A108" s="103">
        <v>477656</v>
      </c>
      <c r="B108" s="103" t="s">
        <v>879</v>
      </c>
      <c r="C108" s="103">
        <v>83222543</v>
      </c>
      <c r="D108" s="103" t="s">
        <v>880</v>
      </c>
      <c r="E108" s="103" t="s">
        <v>666</v>
      </c>
      <c r="F108" s="103" t="s">
        <v>656</v>
      </c>
      <c r="G108" s="103">
        <v>6082710017</v>
      </c>
      <c r="H108" s="103" t="s">
        <v>662</v>
      </c>
      <c r="I108" s="103" t="s">
        <v>406</v>
      </c>
      <c r="J108" s="103" t="s">
        <v>677</v>
      </c>
      <c r="K108" s="103" t="s">
        <v>308</v>
      </c>
      <c r="L108" s="104">
        <v>40365</v>
      </c>
      <c r="M108" s="104">
        <v>30975</v>
      </c>
    </row>
    <row r="109" spans="1:13">
      <c r="A109" s="103">
        <v>524926</v>
      </c>
      <c r="B109" s="103" t="s">
        <v>881</v>
      </c>
      <c r="C109" s="103">
        <v>7729069</v>
      </c>
      <c r="D109" s="103" t="s">
        <v>882</v>
      </c>
      <c r="E109" s="103" t="s">
        <v>666</v>
      </c>
      <c r="F109" s="103" t="s">
        <v>680</v>
      </c>
      <c r="G109" s="103">
        <v>6082710016</v>
      </c>
      <c r="H109" s="103" t="s">
        <v>662</v>
      </c>
      <c r="I109" s="103" t="s">
        <v>278</v>
      </c>
      <c r="J109" s="103" t="s">
        <v>658</v>
      </c>
      <c r="K109" s="103" t="s">
        <v>288</v>
      </c>
      <c r="L109" s="104">
        <v>41064</v>
      </c>
      <c r="M109" s="104">
        <v>30945</v>
      </c>
    </row>
    <row r="110" spans="1:13">
      <c r="A110" s="103">
        <v>626277</v>
      </c>
      <c r="B110" s="103" t="s">
        <v>883</v>
      </c>
      <c r="C110" s="103">
        <v>1075282242</v>
      </c>
      <c r="D110" s="103" t="s">
        <v>884</v>
      </c>
      <c r="E110" s="103" t="s">
        <v>655</v>
      </c>
      <c r="F110" s="103" t="s">
        <v>656</v>
      </c>
      <c r="G110" s="103">
        <v>6084210017</v>
      </c>
      <c r="H110" s="103" t="s">
        <v>657</v>
      </c>
      <c r="I110" s="103" t="s">
        <v>406</v>
      </c>
      <c r="J110" s="103" t="s">
        <v>677</v>
      </c>
      <c r="K110" s="103" t="s">
        <v>426</v>
      </c>
      <c r="L110" s="104">
        <v>43053</v>
      </c>
      <c r="M110" s="104">
        <v>30910</v>
      </c>
    </row>
    <row r="111" spans="1:13">
      <c r="A111" s="103">
        <v>476229</v>
      </c>
      <c r="B111" s="103" t="s">
        <v>885</v>
      </c>
      <c r="C111" s="103">
        <v>83117474</v>
      </c>
      <c r="D111" s="103" t="s">
        <v>886</v>
      </c>
      <c r="E111" s="103" t="s">
        <v>655</v>
      </c>
      <c r="F111" s="103" t="s">
        <v>656</v>
      </c>
      <c r="G111" s="103">
        <v>6084210017</v>
      </c>
      <c r="H111" s="103" t="s">
        <v>698</v>
      </c>
      <c r="I111" s="103" t="s">
        <v>406</v>
      </c>
      <c r="J111" s="103" t="s">
        <v>677</v>
      </c>
      <c r="K111" s="103" t="s">
        <v>391</v>
      </c>
      <c r="L111" s="104">
        <v>44417</v>
      </c>
      <c r="M111" s="104">
        <v>30855</v>
      </c>
    </row>
    <row r="112" spans="1:13">
      <c r="A112" s="103">
        <v>546148</v>
      </c>
      <c r="B112" s="103" t="s">
        <v>887</v>
      </c>
      <c r="C112" s="103">
        <v>1075232587</v>
      </c>
      <c r="D112" s="103" t="s">
        <v>888</v>
      </c>
      <c r="E112" s="103" t="s">
        <v>666</v>
      </c>
      <c r="F112" s="103" t="s">
        <v>680</v>
      </c>
      <c r="G112" s="103">
        <v>6082710712</v>
      </c>
      <c r="H112" s="103" t="s">
        <v>662</v>
      </c>
      <c r="I112" s="103" t="s">
        <v>406</v>
      </c>
      <c r="J112" s="103" t="s">
        <v>663</v>
      </c>
      <c r="K112" s="103" t="s">
        <v>277</v>
      </c>
      <c r="L112" s="104">
        <v>41414</v>
      </c>
      <c r="M112" s="104">
        <v>32433</v>
      </c>
    </row>
    <row r="113" spans="1:13">
      <c r="A113" s="103">
        <v>482982</v>
      </c>
      <c r="B113" s="103" t="s">
        <v>889</v>
      </c>
      <c r="C113" s="103">
        <v>83091654</v>
      </c>
      <c r="D113" s="103" t="s">
        <v>890</v>
      </c>
      <c r="E113" s="103" t="s">
        <v>655</v>
      </c>
      <c r="F113" s="103" t="s">
        <v>656</v>
      </c>
      <c r="G113" s="103">
        <v>6082710017</v>
      </c>
      <c r="H113" s="103" t="s">
        <v>662</v>
      </c>
      <c r="I113" s="103" t="s">
        <v>406</v>
      </c>
      <c r="J113" s="103" t="s">
        <v>677</v>
      </c>
      <c r="K113" s="103" t="s">
        <v>303</v>
      </c>
      <c r="L113" s="104">
        <v>44169</v>
      </c>
      <c r="M113" s="104">
        <v>29540</v>
      </c>
    </row>
    <row r="114" spans="1:13">
      <c r="A114" s="103">
        <v>450059</v>
      </c>
      <c r="B114" s="103" t="s">
        <v>891</v>
      </c>
      <c r="C114" s="103">
        <v>7690428</v>
      </c>
      <c r="D114" s="103" t="s">
        <v>892</v>
      </c>
      <c r="E114" s="103" t="s">
        <v>666</v>
      </c>
      <c r="F114" s="103" t="s">
        <v>656</v>
      </c>
      <c r="G114" s="103">
        <v>6082710712</v>
      </c>
      <c r="H114" s="103" t="s">
        <v>662</v>
      </c>
      <c r="I114" s="103" t="s">
        <v>406</v>
      </c>
      <c r="J114" s="103" t="s">
        <v>663</v>
      </c>
      <c r="K114" s="103" t="s">
        <v>471</v>
      </c>
      <c r="L114" s="104">
        <v>40150</v>
      </c>
      <c r="M114" s="104">
        <v>26342</v>
      </c>
    </row>
    <row r="115" spans="1:13">
      <c r="A115" s="103">
        <v>426015</v>
      </c>
      <c r="B115" s="103" t="s">
        <v>893</v>
      </c>
      <c r="C115" s="103">
        <v>1075215737</v>
      </c>
      <c r="D115" s="103" t="s">
        <v>894</v>
      </c>
      <c r="E115" s="103" t="s">
        <v>727</v>
      </c>
      <c r="F115" s="103" t="s">
        <v>656</v>
      </c>
      <c r="G115" s="103">
        <v>6082710016</v>
      </c>
      <c r="H115" s="103" t="s">
        <v>662</v>
      </c>
      <c r="I115" s="103" t="s">
        <v>278</v>
      </c>
      <c r="J115" s="103" t="s">
        <v>658</v>
      </c>
      <c r="K115" s="103" t="s">
        <v>292</v>
      </c>
      <c r="L115" s="104">
        <v>39457</v>
      </c>
      <c r="M115" s="104">
        <v>31533</v>
      </c>
    </row>
    <row r="116" spans="1:13">
      <c r="A116" s="103">
        <v>682355</v>
      </c>
      <c r="B116" s="103" t="s">
        <v>895</v>
      </c>
      <c r="C116" s="103">
        <v>1098806895</v>
      </c>
      <c r="D116" s="103" t="s">
        <v>896</v>
      </c>
      <c r="E116" s="103" t="s">
        <v>655</v>
      </c>
      <c r="F116" s="103" t="s">
        <v>680</v>
      </c>
      <c r="G116" s="103">
        <v>6084210017</v>
      </c>
      <c r="H116" s="103" t="s">
        <v>698</v>
      </c>
      <c r="I116" s="103" t="s">
        <v>406</v>
      </c>
      <c r="J116" s="103" t="s">
        <v>677</v>
      </c>
      <c r="K116" s="103" t="s">
        <v>426</v>
      </c>
      <c r="L116" s="104">
        <v>44452</v>
      </c>
      <c r="M116" s="104">
        <v>35923</v>
      </c>
    </row>
    <row r="117" spans="1:13">
      <c r="A117" s="103">
        <v>476069</v>
      </c>
      <c r="B117" s="103" t="s">
        <v>897</v>
      </c>
      <c r="C117" s="103">
        <v>7684177</v>
      </c>
      <c r="D117" s="103" t="s">
        <v>898</v>
      </c>
      <c r="E117" s="103" t="s">
        <v>666</v>
      </c>
      <c r="F117" s="103" t="s">
        <v>656</v>
      </c>
      <c r="G117" s="103">
        <v>6082710016</v>
      </c>
      <c r="H117" s="103" t="s">
        <v>662</v>
      </c>
      <c r="I117" s="103" t="s">
        <v>278</v>
      </c>
      <c r="J117" s="103" t="s">
        <v>658</v>
      </c>
      <c r="K117" s="103" t="s">
        <v>471</v>
      </c>
      <c r="L117" s="104">
        <v>40339</v>
      </c>
      <c r="M117" s="104">
        <v>25513</v>
      </c>
    </row>
    <row r="118" spans="1:13">
      <c r="A118" s="103">
        <v>448783</v>
      </c>
      <c r="B118" s="103" t="s">
        <v>899</v>
      </c>
      <c r="C118" s="103">
        <v>1090378269</v>
      </c>
      <c r="D118" s="103" t="s">
        <v>900</v>
      </c>
      <c r="E118" s="103" t="s">
        <v>666</v>
      </c>
      <c r="F118" s="103" t="s">
        <v>667</v>
      </c>
      <c r="G118" s="103">
        <v>6082575700</v>
      </c>
      <c r="H118" s="103" t="s">
        <v>668</v>
      </c>
      <c r="I118" s="103" t="s">
        <v>406</v>
      </c>
      <c r="J118" s="103" t="s">
        <v>669</v>
      </c>
      <c r="K118" s="103" t="s">
        <v>638</v>
      </c>
      <c r="L118" s="104">
        <v>43514</v>
      </c>
      <c r="M118" s="104">
        <v>31376</v>
      </c>
    </row>
    <row r="119" spans="1:13">
      <c r="A119" s="103">
        <v>524725</v>
      </c>
      <c r="B119" s="103" t="s">
        <v>901</v>
      </c>
      <c r="C119" s="103">
        <v>1075222167</v>
      </c>
      <c r="D119" s="103" t="s">
        <v>902</v>
      </c>
      <c r="E119" s="103" t="s">
        <v>666</v>
      </c>
      <c r="F119" s="103" t="s">
        <v>680</v>
      </c>
      <c r="G119" s="103">
        <v>6082710016</v>
      </c>
      <c r="H119" s="103" t="s">
        <v>662</v>
      </c>
      <c r="I119" s="103" t="s">
        <v>278</v>
      </c>
      <c r="J119" s="103" t="s">
        <v>658</v>
      </c>
      <c r="K119" s="103" t="s">
        <v>277</v>
      </c>
      <c r="L119" s="104">
        <v>41277</v>
      </c>
      <c r="M119" s="104">
        <v>31921</v>
      </c>
    </row>
    <row r="120" spans="1:13">
      <c r="A120" s="103">
        <v>628639</v>
      </c>
      <c r="B120" s="103" t="s">
        <v>903</v>
      </c>
      <c r="C120" s="103">
        <v>8032489</v>
      </c>
      <c r="D120" s="103" t="s">
        <v>904</v>
      </c>
      <c r="E120" s="103" t="s">
        <v>666</v>
      </c>
      <c r="F120" s="103" t="s">
        <v>656</v>
      </c>
      <c r="G120" s="103">
        <v>6082710016</v>
      </c>
      <c r="H120" s="103" t="s">
        <v>662</v>
      </c>
      <c r="I120" s="103" t="s">
        <v>278</v>
      </c>
      <c r="J120" s="103" t="s">
        <v>658</v>
      </c>
      <c r="K120" s="103" t="s">
        <v>508</v>
      </c>
      <c r="L120" s="104">
        <v>44180</v>
      </c>
      <c r="M120" s="104">
        <v>31196</v>
      </c>
    </row>
    <row r="121" spans="1:13">
      <c r="A121" s="103">
        <v>477831</v>
      </c>
      <c r="B121" s="103" t="s">
        <v>905</v>
      </c>
      <c r="C121" s="103">
        <v>1017166353</v>
      </c>
      <c r="D121" s="103" t="s">
        <v>906</v>
      </c>
      <c r="E121" s="103" t="s">
        <v>666</v>
      </c>
      <c r="F121" s="103" t="s">
        <v>667</v>
      </c>
      <c r="G121" s="103">
        <v>6082710016</v>
      </c>
      <c r="H121" s="103" t="s">
        <v>662</v>
      </c>
      <c r="I121" s="103" t="s">
        <v>278</v>
      </c>
      <c r="J121" s="103" t="s">
        <v>658</v>
      </c>
      <c r="K121" s="103" t="s">
        <v>507</v>
      </c>
      <c r="L121" s="104">
        <v>40367</v>
      </c>
      <c r="M121" s="104">
        <v>32500</v>
      </c>
    </row>
    <row r="122" spans="1:13">
      <c r="A122" s="103">
        <v>456070</v>
      </c>
      <c r="B122" s="103" t="s">
        <v>907</v>
      </c>
      <c r="C122" s="103">
        <v>7729951</v>
      </c>
      <c r="D122" s="103" t="s">
        <v>908</v>
      </c>
      <c r="E122" s="103" t="s">
        <v>666</v>
      </c>
      <c r="F122" s="103" t="s">
        <v>667</v>
      </c>
      <c r="G122" s="103">
        <v>6082710712</v>
      </c>
      <c r="H122" s="103" t="s">
        <v>662</v>
      </c>
      <c r="I122" s="103" t="s">
        <v>406</v>
      </c>
      <c r="J122" s="103" t="s">
        <v>663</v>
      </c>
      <c r="K122" s="103" t="s">
        <v>418</v>
      </c>
      <c r="L122" s="104">
        <v>39706</v>
      </c>
      <c r="M122" s="104">
        <v>31002</v>
      </c>
    </row>
    <row r="123" spans="1:13">
      <c r="A123" s="103">
        <v>626330</v>
      </c>
      <c r="B123" s="103" t="s">
        <v>909</v>
      </c>
      <c r="C123" s="103">
        <v>1075542567</v>
      </c>
      <c r="D123" s="103" t="s">
        <v>910</v>
      </c>
      <c r="E123" s="103" t="s">
        <v>655</v>
      </c>
      <c r="F123" s="103" t="s">
        <v>661</v>
      </c>
      <c r="G123" s="103">
        <v>6082710017</v>
      </c>
      <c r="H123" s="103" t="s">
        <v>662</v>
      </c>
      <c r="I123" s="103" t="s">
        <v>406</v>
      </c>
      <c r="J123" s="103" t="s">
        <v>677</v>
      </c>
      <c r="K123" s="103" t="s">
        <v>426</v>
      </c>
      <c r="L123" s="104">
        <v>43053</v>
      </c>
      <c r="M123" s="104">
        <v>34069</v>
      </c>
    </row>
    <row r="124" spans="1:13">
      <c r="A124" s="103">
        <v>644650</v>
      </c>
      <c r="B124" s="103" t="s">
        <v>911</v>
      </c>
      <c r="C124" s="103">
        <v>1122129013</v>
      </c>
      <c r="D124" s="103" t="s">
        <v>912</v>
      </c>
      <c r="E124" s="103" t="s">
        <v>655</v>
      </c>
      <c r="F124" s="103" t="s">
        <v>656</v>
      </c>
      <c r="G124" s="103">
        <v>6084210712</v>
      </c>
      <c r="H124" s="103" t="s">
        <v>691</v>
      </c>
      <c r="I124" s="103" t="s">
        <v>406</v>
      </c>
      <c r="J124" s="103" t="s">
        <v>663</v>
      </c>
      <c r="K124" s="103" t="s">
        <v>392</v>
      </c>
      <c r="L124" s="104">
        <v>43353</v>
      </c>
      <c r="M124" s="104">
        <v>33473</v>
      </c>
    </row>
    <row r="125" spans="1:13">
      <c r="A125" s="103">
        <v>626269</v>
      </c>
      <c r="B125" s="103" t="s">
        <v>913</v>
      </c>
      <c r="C125" s="103">
        <v>7723690</v>
      </c>
      <c r="D125" s="103" t="s">
        <v>914</v>
      </c>
      <c r="E125" s="103" t="s">
        <v>655</v>
      </c>
      <c r="F125" s="103" t="s">
        <v>661</v>
      </c>
      <c r="G125" s="103">
        <v>6082710017</v>
      </c>
      <c r="H125" s="103" t="s">
        <v>662</v>
      </c>
      <c r="I125" s="103" t="s">
        <v>406</v>
      </c>
      <c r="J125" s="103" t="s">
        <v>677</v>
      </c>
      <c r="K125" s="103" t="s">
        <v>426</v>
      </c>
      <c r="L125" s="104">
        <v>43053</v>
      </c>
      <c r="M125" s="104">
        <v>30388</v>
      </c>
    </row>
    <row r="126" spans="1:13">
      <c r="A126" s="103">
        <v>671286</v>
      </c>
      <c r="B126" s="103" t="s">
        <v>915</v>
      </c>
      <c r="C126" s="103">
        <v>93394139</v>
      </c>
      <c r="D126" s="103" t="s">
        <v>916</v>
      </c>
      <c r="E126" s="103" t="s">
        <v>655</v>
      </c>
      <c r="F126" s="103" t="s">
        <v>656</v>
      </c>
      <c r="G126" s="103">
        <v>6082710014</v>
      </c>
      <c r="H126" s="103" t="s">
        <v>662</v>
      </c>
      <c r="I126" s="103" t="s">
        <v>406</v>
      </c>
      <c r="J126" s="103" t="s">
        <v>709</v>
      </c>
      <c r="K126" s="103" t="s">
        <v>528</v>
      </c>
      <c r="L126" s="104">
        <v>44067</v>
      </c>
      <c r="M126" s="104">
        <v>27274</v>
      </c>
    </row>
    <row r="127" spans="1:13">
      <c r="A127" s="103">
        <v>476254</v>
      </c>
      <c r="B127" s="103" t="s">
        <v>917</v>
      </c>
      <c r="C127" s="103">
        <v>1121850435</v>
      </c>
      <c r="D127" s="103" t="s">
        <v>918</v>
      </c>
      <c r="E127" s="103" t="s">
        <v>666</v>
      </c>
      <c r="F127" s="103" t="s">
        <v>680</v>
      </c>
      <c r="G127" s="103">
        <v>6082710017</v>
      </c>
      <c r="H127" s="103" t="s">
        <v>691</v>
      </c>
      <c r="I127" s="103" t="s">
        <v>406</v>
      </c>
      <c r="J127" s="103" t="s">
        <v>677</v>
      </c>
      <c r="K127" s="103" t="s">
        <v>390</v>
      </c>
      <c r="L127" s="104">
        <v>40344</v>
      </c>
      <c r="M127" s="104">
        <v>32587</v>
      </c>
    </row>
    <row r="128" spans="1:13">
      <c r="A128" s="103">
        <v>632238</v>
      </c>
      <c r="B128" s="103" t="s">
        <v>1118</v>
      </c>
      <c r="C128" s="103">
        <v>1082805611</v>
      </c>
      <c r="D128" s="103" t="s">
        <v>1119</v>
      </c>
      <c r="E128" s="103" t="s">
        <v>655</v>
      </c>
      <c r="F128" s="103" t="s">
        <v>656</v>
      </c>
      <c r="G128" s="103">
        <v>6082710016</v>
      </c>
      <c r="H128" s="103" t="s">
        <v>662</v>
      </c>
      <c r="I128" s="103" t="s">
        <v>278</v>
      </c>
      <c r="J128" s="103" t="s">
        <v>658</v>
      </c>
      <c r="K128" s="103" t="s">
        <v>392</v>
      </c>
      <c r="L128" s="104">
        <v>44683</v>
      </c>
      <c r="M128" s="104">
        <v>34856</v>
      </c>
    </row>
    <row r="129" spans="1:13">
      <c r="A129" s="103">
        <v>114335</v>
      </c>
      <c r="B129" s="103" t="s">
        <v>919</v>
      </c>
      <c r="C129" s="103">
        <v>7708789</v>
      </c>
      <c r="D129" s="103" t="s">
        <v>920</v>
      </c>
      <c r="E129" s="103" t="s">
        <v>666</v>
      </c>
      <c r="F129" s="103" t="s">
        <v>667</v>
      </c>
      <c r="G129" s="103">
        <v>6082710712</v>
      </c>
      <c r="H129" s="103" t="s">
        <v>662</v>
      </c>
      <c r="I129" s="103" t="s">
        <v>406</v>
      </c>
      <c r="J129" s="103" t="s">
        <v>663</v>
      </c>
      <c r="K129" s="103" t="s">
        <v>1106</v>
      </c>
      <c r="L129" s="104">
        <v>35582</v>
      </c>
      <c r="M129" s="104">
        <v>28649</v>
      </c>
    </row>
    <row r="130" spans="1:13">
      <c r="A130" s="103">
        <v>543899</v>
      </c>
      <c r="B130" s="103" t="s">
        <v>921</v>
      </c>
      <c r="C130" s="103">
        <v>1118538163</v>
      </c>
      <c r="D130" s="103" t="s">
        <v>922</v>
      </c>
      <c r="E130" s="103" t="s">
        <v>727</v>
      </c>
      <c r="F130" s="103" t="s">
        <v>656</v>
      </c>
      <c r="G130" s="103">
        <v>6082810059</v>
      </c>
      <c r="H130" s="103" t="s">
        <v>674</v>
      </c>
      <c r="I130" s="103" t="s">
        <v>406</v>
      </c>
      <c r="J130" s="103" t="s">
        <v>852</v>
      </c>
      <c r="K130" s="103" t="s">
        <v>294</v>
      </c>
      <c r="L130" s="104">
        <v>41381</v>
      </c>
      <c r="M130" s="104">
        <v>32266</v>
      </c>
    </row>
    <row r="131" spans="1:13">
      <c r="A131" s="103">
        <v>655259</v>
      </c>
      <c r="B131" s="103" t="s">
        <v>923</v>
      </c>
      <c r="C131" s="103">
        <v>959934</v>
      </c>
      <c r="D131" s="103" t="s">
        <v>924</v>
      </c>
      <c r="E131" s="103" t="s">
        <v>666</v>
      </c>
      <c r="F131" s="103" t="s">
        <v>656</v>
      </c>
      <c r="G131" s="103">
        <v>6084210017</v>
      </c>
      <c r="H131" s="103" t="s">
        <v>691</v>
      </c>
      <c r="I131" s="103" t="s">
        <v>406</v>
      </c>
      <c r="J131" s="103" t="s">
        <v>677</v>
      </c>
      <c r="K131" s="103" t="s">
        <v>503</v>
      </c>
      <c r="L131" s="104">
        <v>43563</v>
      </c>
      <c r="M131" s="104">
        <v>31325</v>
      </c>
    </row>
    <row r="132" spans="1:13">
      <c r="A132" s="103">
        <v>678510</v>
      </c>
      <c r="B132" s="103" t="s">
        <v>925</v>
      </c>
      <c r="C132" s="103">
        <v>1220927</v>
      </c>
      <c r="D132" s="103" t="s">
        <v>926</v>
      </c>
      <c r="E132" s="103" t="s">
        <v>838</v>
      </c>
      <c r="F132" s="103" t="s">
        <v>839</v>
      </c>
      <c r="G132" s="103">
        <v>6082510017</v>
      </c>
      <c r="H132" s="103" t="s">
        <v>668</v>
      </c>
      <c r="I132" s="103" t="s">
        <v>406</v>
      </c>
      <c r="J132" s="103" t="s">
        <v>677</v>
      </c>
      <c r="K132" s="103" t="s">
        <v>422</v>
      </c>
      <c r="L132" s="104">
        <v>44348</v>
      </c>
      <c r="M132" s="104">
        <v>29287</v>
      </c>
    </row>
    <row r="133" spans="1:13">
      <c r="A133" s="103">
        <v>666903</v>
      </c>
      <c r="B133" s="103" t="s">
        <v>927</v>
      </c>
      <c r="C133" s="103">
        <v>1032357140</v>
      </c>
      <c r="D133" s="103" t="s">
        <v>928</v>
      </c>
      <c r="E133" s="103" t="s">
        <v>655</v>
      </c>
      <c r="F133" s="103" t="s">
        <v>656</v>
      </c>
      <c r="G133" s="103">
        <v>6084210017</v>
      </c>
      <c r="H133" s="103" t="s">
        <v>657</v>
      </c>
      <c r="I133" s="103" t="s">
        <v>406</v>
      </c>
      <c r="J133" s="103" t="s">
        <v>677</v>
      </c>
      <c r="K133" s="103" t="s">
        <v>426</v>
      </c>
      <c r="L133" s="104">
        <v>43843</v>
      </c>
      <c r="M133" s="104">
        <v>31366</v>
      </c>
    </row>
    <row r="134" spans="1:13">
      <c r="A134" s="103">
        <v>666820</v>
      </c>
      <c r="B134" s="103" t="s">
        <v>929</v>
      </c>
      <c r="C134" s="103">
        <v>1123206981</v>
      </c>
      <c r="D134" s="103" t="s">
        <v>930</v>
      </c>
      <c r="E134" s="103" t="s">
        <v>655</v>
      </c>
      <c r="F134" s="103" t="s">
        <v>656</v>
      </c>
      <c r="G134" s="103">
        <v>6082710016</v>
      </c>
      <c r="H134" s="103" t="s">
        <v>662</v>
      </c>
      <c r="I134" s="103" t="s">
        <v>278</v>
      </c>
      <c r="J134" s="103" t="s">
        <v>658</v>
      </c>
      <c r="K134" s="103" t="s">
        <v>318</v>
      </c>
      <c r="L134" s="104">
        <v>43843</v>
      </c>
      <c r="M134" s="104">
        <v>32427</v>
      </c>
    </row>
    <row r="135" spans="1:13">
      <c r="A135" s="103">
        <v>681037</v>
      </c>
      <c r="B135" s="103" t="s">
        <v>931</v>
      </c>
      <c r="C135" s="103">
        <v>5679205</v>
      </c>
      <c r="D135" s="103" t="s">
        <v>932</v>
      </c>
      <c r="E135" s="103" t="s">
        <v>666</v>
      </c>
      <c r="F135" s="103" t="s">
        <v>667</v>
      </c>
      <c r="G135" s="103">
        <v>6082710016</v>
      </c>
      <c r="H135" s="103" t="s">
        <v>662</v>
      </c>
      <c r="I135" s="103" t="s">
        <v>278</v>
      </c>
      <c r="J135" s="103" t="s">
        <v>658</v>
      </c>
      <c r="K135" s="103" t="s">
        <v>586</v>
      </c>
      <c r="L135" s="104">
        <v>44410</v>
      </c>
      <c r="M135" s="104">
        <v>31779</v>
      </c>
    </row>
    <row r="136" spans="1:13">
      <c r="A136" s="103">
        <v>684224</v>
      </c>
      <c r="B136" s="103" t="s">
        <v>933</v>
      </c>
      <c r="C136" s="103">
        <v>1075274664</v>
      </c>
      <c r="D136" s="103" t="s">
        <v>934</v>
      </c>
      <c r="E136" s="103" t="s">
        <v>666</v>
      </c>
      <c r="F136" s="103" t="s">
        <v>656</v>
      </c>
      <c r="G136" s="103">
        <v>6082710017</v>
      </c>
      <c r="H136" s="103" t="s">
        <v>662</v>
      </c>
      <c r="I136" s="103" t="s">
        <v>406</v>
      </c>
      <c r="J136" s="103" t="s">
        <v>677</v>
      </c>
      <c r="K136" s="103" t="s">
        <v>481</v>
      </c>
      <c r="L136" s="104">
        <v>44502</v>
      </c>
      <c r="M136" s="104">
        <v>34242</v>
      </c>
    </row>
    <row r="137" spans="1:13">
      <c r="A137" s="103">
        <v>114313</v>
      </c>
      <c r="B137" s="103" t="s">
        <v>935</v>
      </c>
      <c r="C137" s="103">
        <v>79063318</v>
      </c>
      <c r="D137" s="103" t="s">
        <v>936</v>
      </c>
      <c r="E137" s="103" t="s">
        <v>666</v>
      </c>
      <c r="F137" s="103" t="s">
        <v>656</v>
      </c>
      <c r="G137" s="103">
        <v>6082710712</v>
      </c>
      <c r="H137" s="103" t="s">
        <v>662</v>
      </c>
      <c r="I137" s="103" t="s">
        <v>406</v>
      </c>
      <c r="J137" s="103" t="s">
        <v>663</v>
      </c>
      <c r="K137" s="103" t="s">
        <v>283</v>
      </c>
      <c r="L137" s="104">
        <v>35489</v>
      </c>
      <c r="M137" s="104">
        <v>26378</v>
      </c>
    </row>
    <row r="138" spans="1:13">
      <c r="A138" s="103">
        <v>676110</v>
      </c>
      <c r="B138" s="103" t="s">
        <v>937</v>
      </c>
      <c r="C138" s="103">
        <v>1122116373</v>
      </c>
      <c r="D138" s="103" t="s">
        <v>938</v>
      </c>
      <c r="E138" s="103" t="s">
        <v>655</v>
      </c>
      <c r="F138" s="103" t="s">
        <v>656</v>
      </c>
      <c r="G138" s="103">
        <v>6084210016</v>
      </c>
      <c r="H138" s="103" t="s">
        <v>691</v>
      </c>
      <c r="I138" s="103" t="s">
        <v>278</v>
      </c>
      <c r="J138" s="103" t="s">
        <v>658</v>
      </c>
      <c r="K138" s="103" t="s">
        <v>392</v>
      </c>
      <c r="L138" s="104">
        <v>44270</v>
      </c>
      <c r="M138" s="104">
        <v>31452</v>
      </c>
    </row>
    <row r="139" spans="1:13">
      <c r="A139" s="103">
        <v>684222</v>
      </c>
      <c r="B139" s="103" t="s">
        <v>939</v>
      </c>
      <c r="C139" s="103">
        <v>1022390860</v>
      </c>
      <c r="D139" s="103" t="s">
        <v>940</v>
      </c>
      <c r="E139" s="103" t="s">
        <v>666</v>
      </c>
      <c r="F139" s="103" t="s">
        <v>680</v>
      </c>
      <c r="G139" s="103">
        <v>6082710017</v>
      </c>
      <c r="H139" s="103" t="s">
        <v>662</v>
      </c>
      <c r="I139" s="103" t="s">
        <v>406</v>
      </c>
      <c r="J139" s="103" t="s">
        <v>677</v>
      </c>
      <c r="K139" s="103" t="s">
        <v>481</v>
      </c>
      <c r="L139" s="104">
        <v>44502</v>
      </c>
      <c r="M139" s="104">
        <v>34386</v>
      </c>
    </row>
    <row r="140" spans="1:13">
      <c r="A140" s="103">
        <v>648574</v>
      </c>
      <c r="B140" s="103" t="s">
        <v>941</v>
      </c>
      <c r="C140" s="103">
        <v>7708676</v>
      </c>
      <c r="D140" s="103" t="s">
        <v>942</v>
      </c>
      <c r="E140" s="103" t="s">
        <v>655</v>
      </c>
      <c r="F140" s="103" t="s">
        <v>656</v>
      </c>
      <c r="G140" s="103">
        <v>6082710016</v>
      </c>
      <c r="H140" s="103" t="s">
        <v>662</v>
      </c>
      <c r="I140" s="103" t="s">
        <v>278</v>
      </c>
      <c r="J140" s="103" t="s">
        <v>658</v>
      </c>
      <c r="K140" s="103" t="s">
        <v>392</v>
      </c>
      <c r="L140" s="104">
        <v>44180</v>
      </c>
      <c r="M140" s="104">
        <v>28714</v>
      </c>
    </row>
    <row r="141" spans="1:13">
      <c r="A141" s="103">
        <v>655269</v>
      </c>
      <c r="B141" s="103" t="s">
        <v>943</v>
      </c>
      <c r="C141" s="103">
        <v>72242097</v>
      </c>
      <c r="D141" s="103" t="s">
        <v>944</v>
      </c>
      <c r="E141" s="103" t="s">
        <v>666</v>
      </c>
      <c r="F141" s="103" t="s">
        <v>656</v>
      </c>
      <c r="G141" s="103">
        <v>6084110017</v>
      </c>
      <c r="H141" s="103" t="s">
        <v>698</v>
      </c>
      <c r="I141" s="103" t="s">
        <v>406</v>
      </c>
      <c r="J141" s="103" t="s">
        <v>677</v>
      </c>
      <c r="K141" s="103" t="s">
        <v>503</v>
      </c>
      <c r="L141" s="104">
        <v>43563</v>
      </c>
      <c r="M141" s="104">
        <v>28942</v>
      </c>
    </row>
    <row r="142" spans="1:13">
      <c r="A142" s="103">
        <v>410287</v>
      </c>
      <c r="B142" s="103" t="s">
        <v>945</v>
      </c>
      <c r="C142" s="103">
        <v>7703586</v>
      </c>
      <c r="D142" s="103" t="s">
        <v>946</v>
      </c>
      <c r="E142" s="103" t="s">
        <v>666</v>
      </c>
      <c r="F142" s="103" t="s">
        <v>680</v>
      </c>
      <c r="G142" s="103">
        <v>6082710017</v>
      </c>
      <c r="H142" s="103" t="s">
        <v>662</v>
      </c>
      <c r="I142" s="103" t="s">
        <v>406</v>
      </c>
      <c r="J142" s="103" t="s">
        <v>677</v>
      </c>
      <c r="K142" s="103" t="s">
        <v>391</v>
      </c>
      <c r="L142" s="104">
        <v>43192</v>
      </c>
      <c r="M142" s="104">
        <v>28010</v>
      </c>
    </row>
    <row r="143" spans="1:13">
      <c r="A143" s="103">
        <v>675944</v>
      </c>
      <c r="B143" s="103" t="s">
        <v>947</v>
      </c>
      <c r="C143" s="103">
        <v>1122339372</v>
      </c>
      <c r="D143" s="103" t="s">
        <v>948</v>
      </c>
      <c r="E143" s="103" t="s">
        <v>655</v>
      </c>
      <c r="F143" s="103" t="s">
        <v>661</v>
      </c>
      <c r="G143" s="103">
        <v>6082710016</v>
      </c>
      <c r="H143" s="103" t="s">
        <v>662</v>
      </c>
      <c r="I143" s="103" t="s">
        <v>278</v>
      </c>
      <c r="J143" s="103" t="s">
        <v>658</v>
      </c>
      <c r="K143" s="103" t="s">
        <v>392</v>
      </c>
      <c r="L143" s="104">
        <v>44263</v>
      </c>
      <c r="M143" s="104">
        <v>33235</v>
      </c>
    </row>
    <row r="144" spans="1:13">
      <c r="A144" s="103">
        <v>616393</v>
      </c>
      <c r="B144" s="103" t="s">
        <v>949</v>
      </c>
      <c r="C144" s="103">
        <v>1075541395</v>
      </c>
      <c r="D144" s="103" t="s">
        <v>950</v>
      </c>
      <c r="E144" s="103" t="s">
        <v>655</v>
      </c>
      <c r="F144" s="103" t="s">
        <v>656</v>
      </c>
      <c r="G144" s="103">
        <v>6082710016</v>
      </c>
      <c r="H144" s="103" t="s">
        <v>662</v>
      </c>
      <c r="I144" s="103" t="s">
        <v>278</v>
      </c>
      <c r="J144" s="103" t="s">
        <v>658</v>
      </c>
      <c r="K144" s="103" t="s">
        <v>471</v>
      </c>
      <c r="L144" s="104">
        <v>44202</v>
      </c>
      <c r="M144" s="104">
        <v>33208</v>
      </c>
    </row>
    <row r="145" spans="1:13">
      <c r="A145" s="103">
        <v>598531</v>
      </c>
      <c r="B145" s="103" t="s">
        <v>951</v>
      </c>
      <c r="C145" s="103">
        <v>1075265494</v>
      </c>
      <c r="D145" s="103" t="s">
        <v>952</v>
      </c>
      <c r="E145" s="103" t="s">
        <v>666</v>
      </c>
      <c r="F145" s="103" t="s">
        <v>680</v>
      </c>
      <c r="G145" s="103">
        <v>6082710712</v>
      </c>
      <c r="H145" s="103" t="s">
        <v>662</v>
      </c>
      <c r="I145" s="103" t="s">
        <v>406</v>
      </c>
      <c r="J145" s="103" t="s">
        <v>663</v>
      </c>
      <c r="K145" s="103" t="s">
        <v>292</v>
      </c>
      <c r="L145" s="104">
        <v>43074</v>
      </c>
      <c r="M145" s="104">
        <v>33866</v>
      </c>
    </row>
    <row r="146" spans="1:13">
      <c r="A146" s="103">
        <v>517492</v>
      </c>
      <c r="B146" s="103" t="s">
        <v>953</v>
      </c>
      <c r="C146" s="103">
        <v>80215803</v>
      </c>
      <c r="D146" s="103" t="s">
        <v>954</v>
      </c>
      <c r="E146" s="103" t="s">
        <v>727</v>
      </c>
      <c r="F146" s="103" t="s">
        <v>656</v>
      </c>
      <c r="G146" s="103">
        <v>6082710016</v>
      </c>
      <c r="H146" s="103" t="s">
        <v>662</v>
      </c>
      <c r="I146" s="103" t="s">
        <v>278</v>
      </c>
      <c r="J146" s="103" t="s">
        <v>658</v>
      </c>
      <c r="K146" s="103" t="s">
        <v>471</v>
      </c>
      <c r="L146" s="104">
        <v>40959</v>
      </c>
      <c r="M146" s="104">
        <v>30933</v>
      </c>
    </row>
    <row r="147" spans="1:13">
      <c r="A147" s="103">
        <v>634944</v>
      </c>
      <c r="B147" s="103" t="s">
        <v>955</v>
      </c>
      <c r="C147" s="103">
        <v>7724987</v>
      </c>
      <c r="D147" s="103" t="s">
        <v>956</v>
      </c>
      <c r="E147" s="103" t="s">
        <v>655</v>
      </c>
      <c r="F147" s="103" t="s">
        <v>656</v>
      </c>
      <c r="G147" s="103">
        <v>6082710017</v>
      </c>
      <c r="H147" s="103" t="s">
        <v>662</v>
      </c>
      <c r="I147" s="103" t="s">
        <v>406</v>
      </c>
      <c r="J147" s="103" t="s">
        <v>677</v>
      </c>
      <c r="K147" s="103" t="s">
        <v>392</v>
      </c>
      <c r="L147" s="104">
        <v>44235</v>
      </c>
      <c r="M147" s="104">
        <v>23173</v>
      </c>
    </row>
    <row r="148" spans="1:13">
      <c r="A148" s="103">
        <v>585926</v>
      </c>
      <c r="B148" s="103" t="s">
        <v>957</v>
      </c>
      <c r="C148" s="103">
        <v>1087551132</v>
      </c>
      <c r="D148" s="103" t="s">
        <v>958</v>
      </c>
      <c r="E148" s="103" t="s">
        <v>666</v>
      </c>
      <c r="F148" s="103" t="s">
        <v>656</v>
      </c>
      <c r="G148" s="103">
        <v>6082710016</v>
      </c>
      <c r="H148" s="103" t="s">
        <v>662</v>
      </c>
      <c r="I148" s="103" t="s">
        <v>278</v>
      </c>
      <c r="J148" s="103" t="s">
        <v>658</v>
      </c>
      <c r="K148" s="103" t="s">
        <v>615</v>
      </c>
      <c r="L148" s="104">
        <v>41947</v>
      </c>
      <c r="M148" s="104">
        <v>32642</v>
      </c>
    </row>
    <row r="149" spans="1:13">
      <c r="A149" s="103">
        <v>598475</v>
      </c>
      <c r="B149" s="103" t="s">
        <v>959</v>
      </c>
      <c r="C149" s="103">
        <v>1082214737</v>
      </c>
      <c r="D149" s="103" t="s">
        <v>960</v>
      </c>
      <c r="E149" s="103" t="s">
        <v>666</v>
      </c>
      <c r="F149" s="103" t="s">
        <v>656</v>
      </c>
      <c r="G149" s="103">
        <v>6082710712</v>
      </c>
      <c r="H149" s="103" t="s">
        <v>662</v>
      </c>
      <c r="I149" s="103" t="s">
        <v>406</v>
      </c>
      <c r="J149" s="103" t="s">
        <v>663</v>
      </c>
      <c r="K149" s="103" t="s">
        <v>277</v>
      </c>
      <c r="L149" s="104">
        <v>43320</v>
      </c>
      <c r="M149" s="104">
        <v>32484</v>
      </c>
    </row>
    <row r="150" spans="1:13">
      <c r="A150" s="103">
        <v>641462</v>
      </c>
      <c r="B150" s="103" t="s">
        <v>961</v>
      </c>
      <c r="C150" s="103">
        <v>1075293448</v>
      </c>
      <c r="D150" s="103" t="s">
        <v>962</v>
      </c>
      <c r="E150" s="103" t="s">
        <v>655</v>
      </c>
      <c r="F150" s="103" t="s">
        <v>656</v>
      </c>
      <c r="G150" s="103">
        <v>6082710017</v>
      </c>
      <c r="H150" s="103" t="s">
        <v>662</v>
      </c>
      <c r="I150" s="103" t="s">
        <v>406</v>
      </c>
      <c r="J150" s="103" t="s">
        <v>677</v>
      </c>
      <c r="K150" s="103" t="s">
        <v>426</v>
      </c>
      <c r="L150" s="104">
        <v>44215</v>
      </c>
      <c r="M150" s="104">
        <v>35029</v>
      </c>
    </row>
    <row r="151" spans="1:13">
      <c r="A151" s="103">
        <v>626003</v>
      </c>
      <c r="B151" s="103" t="s">
        <v>963</v>
      </c>
      <c r="C151" s="103">
        <v>1075271179</v>
      </c>
      <c r="D151" s="103" t="s">
        <v>964</v>
      </c>
      <c r="E151" s="103" t="s">
        <v>655</v>
      </c>
      <c r="F151" s="103" t="s">
        <v>656</v>
      </c>
      <c r="G151" s="103">
        <v>6084210017</v>
      </c>
      <c r="H151" s="103" t="s">
        <v>691</v>
      </c>
      <c r="I151" s="103" t="s">
        <v>406</v>
      </c>
      <c r="J151" s="103" t="s">
        <v>677</v>
      </c>
      <c r="K151" s="103" t="s">
        <v>481</v>
      </c>
      <c r="L151" s="104">
        <v>44410</v>
      </c>
      <c r="M151" s="104">
        <v>34119</v>
      </c>
    </row>
    <row r="152" spans="1:13">
      <c r="A152" s="103">
        <v>646524</v>
      </c>
      <c r="B152" s="103" t="s">
        <v>965</v>
      </c>
      <c r="C152" s="103">
        <v>1124855230</v>
      </c>
      <c r="D152" s="103" t="s">
        <v>966</v>
      </c>
      <c r="E152" s="103" t="s">
        <v>655</v>
      </c>
      <c r="F152" s="103" t="s">
        <v>661</v>
      </c>
      <c r="G152" s="103">
        <v>6082710712</v>
      </c>
      <c r="H152" s="103" t="s">
        <v>662</v>
      </c>
      <c r="I152" s="103" t="s">
        <v>406</v>
      </c>
      <c r="J152" s="103" t="s">
        <v>663</v>
      </c>
      <c r="K152" s="103" t="s">
        <v>392</v>
      </c>
      <c r="L152" s="104">
        <v>43381</v>
      </c>
      <c r="M152" s="104">
        <v>33255</v>
      </c>
    </row>
    <row r="153" spans="1:13">
      <c r="A153" s="103">
        <v>587067</v>
      </c>
      <c r="B153" s="103" t="s">
        <v>967</v>
      </c>
      <c r="C153" s="103">
        <v>1075269481</v>
      </c>
      <c r="D153" s="103" t="s">
        <v>968</v>
      </c>
      <c r="E153" s="103" t="s">
        <v>655</v>
      </c>
      <c r="F153" s="103" t="s">
        <v>656</v>
      </c>
      <c r="G153" s="103">
        <v>6082710016</v>
      </c>
      <c r="H153" s="103" t="s">
        <v>662</v>
      </c>
      <c r="I153" s="103" t="s">
        <v>278</v>
      </c>
      <c r="J153" s="103" t="s">
        <v>658</v>
      </c>
      <c r="K153" s="103" t="s">
        <v>292</v>
      </c>
      <c r="L153" s="104">
        <v>44305</v>
      </c>
      <c r="M153" s="104">
        <v>33987</v>
      </c>
    </row>
    <row r="154" spans="1:13">
      <c r="A154" s="103">
        <v>632498</v>
      </c>
      <c r="B154" s="103" t="s">
        <v>969</v>
      </c>
      <c r="C154" s="103">
        <v>1075231306</v>
      </c>
      <c r="D154" s="103" t="s">
        <v>970</v>
      </c>
      <c r="E154" s="103" t="s">
        <v>655</v>
      </c>
      <c r="F154" s="103" t="s">
        <v>656</v>
      </c>
      <c r="G154" s="103">
        <v>6082710017</v>
      </c>
      <c r="H154" s="103" t="s">
        <v>662</v>
      </c>
      <c r="I154" s="103" t="s">
        <v>406</v>
      </c>
      <c r="J154" s="103" t="s">
        <v>677</v>
      </c>
      <c r="K154" s="103" t="s">
        <v>426</v>
      </c>
      <c r="L154" s="104">
        <v>44215</v>
      </c>
      <c r="M154" s="104">
        <v>32371</v>
      </c>
    </row>
    <row r="155" spans="1:13">
      <c r="A155" s="103">
        <v>476169</v>
      </c>
      <c r="B155" s="103" t="s">
        <v>971</v>
      </c>
      <c r="C155" s="103">
        <v>7704016</v>
      </c>
      <c r="D155" s="103" t="s">
        <v>972</v>
      </c>
      <c r="E155" s="103" t="s">
        <v>666</v>
      </c>
      <c r="F155" s="103" t="s">
        <v>656</v>
      </c>
      <c r="G155" s="103">
        <v>6082710059</v>
      </c>
      <c r="H155" s="103" t="s">
        <v>662</v>
      </c>
      <c r="I155" s="103" t="s">
        <v>406</v>
      </c>
      <c r="J155" s="103" t="s">
        <v>852</v>
      </c>
      <c r="K155" s="103" t="s">
        <v>303</v>
      </c>
      <c r="L155" s="104">
        <v>41103</v>
      </c>
      <c r="M155" s="104">
        <v>28171</v>
      </c>
    </row>
    <row r="156" spans="1:13">
      <c r="A156" s="103">
        <v>476521</v>
      </c>
      <c r="B156" s="103" t="s">
        <v>973</v>
      </c>
      <c r="C156" s="103">
        <v>1095910653</v>
      </c>
      <c r="D156" s="103" t="s">
        <v>974</v>
      </c>
      <c r="E156" s="103" t="s">
        <v>666</v>
      </c>
      <c r="F156" s="103" t="s">
        <v>656</v>
      </c>
      <c r="G156" s="103">
        <v>6082710017</v>
      </c>
      <c r="H156" s="103" t="s">
        <v>662</v>
      </c>
      <c r="I156" s="103" t="s">
        <v>406</v>
      </c>
      <c r="J156" s="103" t="s">
        <v>677</v>
      </c>
      <c r="K156" s="103" t="s">
        <v>390</v>
      </c>
      <c r="L156" s="104">
        <v>40346</v>
      </c>
      <c r="M156" s="104">
        <v>31973</v>
      </c>
    </row>
    <row r="157" spans="1:13">
      <c r="A157" s="103">
        <v>114286</v>
      </c>
      <c r="B157" s="103" t="s">
        <v>975</v>
      </c>
      <c r="C157" s="103">
        <v>11230344</v>
      </c>
      <c r="D157" s="103" t="s">
        <v>976</v>
      </c>
      <c r="E157" s="103" t="s">
        <v>666</v>
      </c>
      <c r="F157" s="103" t="s">
        <v>656</v>
      </c>
      <c r="G157" s="103">
        <v>6082710712</v>
      </c>
      <c r="H157" s="103" t="s">
        <v>662</v>
      </c>
      <c r="I157" s="103" t="s">
        <v>406</v>
      </c>
      <c r="J157" s="103" t="s">
        <v>663</v>
      </c>
      <c r="K157" s="103" t="s">
        <v>288</v>
      </c>
      <c r="L157" s="104">
        <v>43171</v>
      </c>
      <c r="M157" s="104">
        <v>23802</v>
      </c>
    </row>
    <row r="158" spans="1:13">
      <c r="A158" s="103">
        <v>517500</v>
      </c>
      <c r="B158" s="103" t="s">
        <v>977</v>
      </c>
      <c r="C158" s="103">
        <v>83229330</v>
      </c>
      <c r="D158" s="103" t="s">
        <v>978</v>
      </c>
      <c r="E158" s="103" t="s">
        <v>666</v>
      </c>
      <c r="F158" s="103" t="s">
        <v>656</v>
      </c>
      <c r="G158" s="103">
        <v>6082710017</v>
      </c>
      <c r="H158" s="103" t="s">
        <v>662</v>
      </c>
      <c r="I158" s="103" t="s">
        <v>406</v>
      </c>
      <c r="J158" s="103" t="s">
        <v>677</v>
      </c>
      <c r="K158" s="103" t="s">
        <v>303</v>
      </c>
      <c r="L158" s="104">
        <v>40959</v>
      </c>
      <c r="M158" s="104">
        <v>29030</v>
      </c>
    </row>
    <row r="159" spans="1:13">
      <c r="A159" s="103">
        <v>666224</v>
      </c>
      <c r="B159" s="103" t="s">
        <v>979</v>
      </c>
      <c r="C159" s="103">
        <v>74812184</v>
      </c>
      <c r="D159" s="103" t="s">
        <v>980</v>
      </c>
      <c r="E159" s="103" t="s">
        <v>655</v>
      </c>
      <c r="F159" s="103" t="s">
        <v>1120</v>
      </c>
      <c r="G159" s="103">
        <v>6084210017</v>
      </c>
      <c r="H159" s="103" t="s">
        <v>674</v>
      </c>
      <c r="I159" s="103" t="s">
        <v>406</v>
      </c>
      <c r="J159" s="103" t="s">
        <v>677</v>
      </c>
      <c r="K159" s="103" t="s">
        <v>570</v>
      </c>
      <c r="L159" s="104">
        <v>43813</v>
      </c>
      <c r="M159" s="104">
        <v>26432</v>
      </c>
    </row>
    <row r="160" spans="1:13">
      <c r="A160" s="103">
        <v>627913</v>
      </c>
      <c r="B160" s="103" t="s">
        <v>981</v>
      </c>
      <c r="C160" s="103">
        <v>7728490</v>
      </c>
      <c r="D160" s="103" t="s">
        <v>982</v>
      </c>
      <c r="E160" s="103" t="s">
        <v>655</v>
      </c>
      <c r="F160" s="103" t="s">
        <v>680</v>
      </c>
      <c r="G160" s="103">
        <v>6082710016</v>
      </c>
      <c r="H160" s="103" t="s">
        <v>662</v>
      </c>
      <c r="I160" s="103" t="s">
        <v>278</v>
      </c>
      <c r="J160" s="103" t="s">
        <v>658</v>
      </c>
      <c r="K160" s="103" t="s">
        <v>392</v>
      </c>
      <c r="L160" s="104">
        <v>44389</v>
      </c>
      <c r="M160" s="104">
        <v>30874</v>
      </c>
    </row>
    <row r="161" spans="1:13">
      <c r="A161" s="103">
        <v>679848</v>
      </c>
      <c r="B161" s="103" t="s">
        <v>983</v>
      </c>
      <c r="C161" s="103">
        <v>5532545</v>
      </c>
      <c r="D161" s="103" t="s">
        <v>984</v>
      </c>
      <c r="E161" s="103" t="s">
        <v>655</v>
      </c>
      <c r="F161" s="103" t="s">
        <v>667</v>
      </c>
      <c r="G161" s="103">
        <v>6082575700</v>
      </c>
      <c r="H161" s="103" t="s">
        <v>722</v>
      </c>
      <c r="I161" s="103" t="s">
        <v>406</v>
      </c>
      <c r="J161" s="103" t="s">
        <v>669</v>
      </c>
      <c r="K161" s="103" t="s">
        <v>447</v>
      </c>
      <c r="L161" s="104">
        <v>44378</v>
      </c>
      <c r="M161" s="104">
        <v>30375</v>
      </c>
    </row>
    <row r="162" spans="1:13">
      <c r="A162" s="103">
        <v>546312</v>
      </c>
      <c r="B162" s="103" t="s">
        <v>985</v>
      </c>
      <c r="C162" s="103">
        <v>1075539170</v>
      </c>
      <c r="D162" s="103" t="s">
        <v>986</v>
      </c>
      <c r="E162" s="103" t="s">
        <v>655</v>
      </c>
      <c r="F162" s="103" t="s">
        <v>656</v>
      </c>
      <c r="G162" s="103">
        <v>6082710016</v>
      </c>
      <c r="H162" s="103" t="s">
        <v>662</v>
      </c>
      <c r="I162" s="103" t="s">
        <v>278</v>
      </c>
      <c r="J162" s="103" t="s">
        <v>658</v>
      </c>
      <c r="K162" s="103" t="s">
        <v>318</v>
      </c>
      <c r="L162" s="104">
        <v>44215</v>
      </c>
      <c r="M162" s="104">
        <v>31986</v>
      </c>
    </row>
    <row r="163" spans="1:13">
      <c r="A163" s="103">
        <v>345115</v>
      </c>
      <c r="B163" s="103" t="s">
        <v>987</v>
      </c>
      <c r="C163" s="103">
        <v>80049065</v>
      </c>
      <c r="D163" s="103" t="s">
        <v>988</v>
      </c>
      <c r="E163" s="103" t="s">
        <v>666</v>
      </c>
      <c r="F163" s="103" t="s">
        <v>656</v>
      </c>
      <c r="G163" s="103">
        <v>6082710016</v>
      </c>
      <c r="H163" s="103" t="s">
        <v>662</v>
      </c>
      <c r="I163" s="103" t="s">
        <v>278</v>
      </c>
      <c r="J163" s="103" t="s">
        <v>658</v>
      </c>
      <c r="K163" s="103" t="s">
        <v>497</v>
      </c>
      <c r="L163" s="104">
        <v>43556</v>
      </c>
      <c r="M163" s="104">
        <v>29170</v>
      </c>
    </row>
    <row r="164" spans="1:13">
      <c r="A164" s="103">
        <v>654248</v>
      </c>
      <c r="B164" s="103" t="s">
        <v>989</v>
      </c>
      <c r="C164" s="103">
        <v>1075268390</v>
      </c>
      <c r="D164" s="103" t="s">
        <v>990</v>
      </c>
      <c r="E164" s="103" t="s">
        <v>666</v>
      </c>
      <c r="F164" s="103" t="s">
        <v>656</v>
      </c>
      <c r="G164" s="103">
        <v>6082710017</v>
      </c>
      <c r="H164" s="103" t="s">
        <v>662</v>
      </c>
      <c r="I164" s="103" t="s">
        <v>406</v>
      </c>
      <c r="J164" s="103" t="s">
        <v>677</v>
      </c>
      <c r="K164" s="103" t="s">
        <v>481</v>
      </c>
      <c r="L164" s="104">
        <v>43542</v>
      </c>
      <c r="M164" s="104">
        <v>33889</v>
      </c>
    </row>
    <row r="165" spans="1:13">
      <c r="A165" s="103">
        <v>545349</v>
      </c>
      <c r="B165" s="103" t="s">
        <v>991</v>
      </c>
      <c r="C165" s="103">
        <v>14798097</v>
      </c>
      <c r="D165" s="103" t="s">
        <v>992</v>
      </c>
      <c r="E165" s="103" t="s">
        <v>666</v>
      </c>
      <c r="F165" s="103" t="s">
        <v>656</v>
      </c>
      <c r="G165" s="103">
        <v>6082710016</v>
      </c>
      <c r="H165" s="103" t="s">
        <v>662</v>
      </c>
      <c r="I165" s="103" t="s">
        <v>278</v>
      </c>
      <c r="J165" s="103" t="s">
        <v>658</v>
      </c>
      <c r="K165" s="103" t="s">
        <v>277</v>
      </c>
      <c r="L165" s="104">
        <v>41408</v>
      </c>
      <c r="M165" s="104">
        <v>30545</v>
      </c>
    </row>
    <row r="166" spans="1:13">
      <c r="A166" s="103">
        <v>619198</v>
      </c>
      <c r="B166" s="103" t="s">
        <v>993</v>
      </c>
      <c r="C166" s="103">
        <v>7733443</v>
      </c>
      <c r="D166" s="103" t="s">
        <v>994</v>
      </c>
      <c r="E166" s="103" t="s">
        <v>655</v>
      </c>
      <c r="F166" s="103" t="s">
        <v>656</v>
      </c>
      <c r="G166" s="103">
        <v>6082710017</v>
      </c>
      <c r="H166" s="103" t="s">
        <v>662</v>
      </c>
      <c r="I166" s="103" t="s">
        <v>406</v>
      </c>
      <c r="J166" s="103" t="s">
        <v>677</v>
      </c>
      <c r="K166" s="103" t="s">
        <v>294</v>
      </c>
      <c r="L166" s="104">
        <v>44169</v>
      </c>
      <c r="M166" s="104">
        <v>31217</v>
      </c>
    </row>
    <row r="167" spans="1:13">
      <c r="A167" s="103">
        <v>648575</v>
      </c>
      <c r="B167" s="103" t="s">
        <v>995</v>
      </c>
      <c r="C167" s="103">
        <v>1192784455</v>
      </c>
      <c r="D167" s="103" t="s">
        <v>996</v>
      </c>
      <c r="E167" s="103" t="s">
        <v>655</v>
      </c>
      <c r="F167" s="103" t="s">
        <v>656</v>
      </c>
      <c r="G167" s="103">
        <v>6082710016</v>
      </c>
      <c r="H167" s="103" t="s">
        <v>662</v>
      </c>
      <c r="I167" s="103" t="s">
        <v>278</v>
      </c>
      <c r="J167" s="103" t="s">
        <v>658</v>
      </c>
      <c r="K167" s="103" t="s">
        <v>392</v>
      </c>
      <c r="L167" s="104">
        <v>44180</v>
      </c>
      <c r="M167" s="104">
        <v>36209</v>
      </c>
    </row>
    <row r="168" spans="1:13">
      <c r="A168" s="103">
        <v>619432</v>
      </c>
      <c r="B168" s="103" t="s">
        <v>997</v>
      </c>
      <c r="C168" s="103">
        <v>7722727</v>
      </c>
      <c r="D168" s="103" t="s">
        <v>998</v>
      </c>
      <c r="E168" s="103" t="s">
        <v>655</v>
      </c>
      <c r="F168" s="103" t="s">
        <v>680</v>
      </c>
      <c r="G168" s="103">
        <v>6082710712</v>
      </c>
      <c r="H168" s="103" t="s">
        <v>662</v>
      </c>
      <c r="I168" s="103" t="s">
        <v>406</v>
      </c>
      <c r="J168" s="103" t="s">
        <v>663</v>
      </c>
      <c r="K168" s="103" t="s">
        <v>277</v>
      </c>
      <c r="L168" s="104">
        <v>42938</v>
      </c>
      <c r="M168" s="104">
        <v>30327</v>
      </c>
    </row>
    <row r="169" spans="1:13">
      <c r="A169" s="103">
        <v>619767</v>
      </c>
      <c r="B169" s="103" t="s">
        <v>999</v>
      </c>
      <c r="C169" s="103">
        <v>1075216754</v>
      </c>
      <c r="D169" s="103" t="s">
        <v>1000</v>
      </c>
      <c r="E169" s="103" t="s">
        <v>655</v>
      </c>
      <c r="F169" s="103" t="s">
        <v>656</v>
      </c>
      <c r="G169" s="103">
        <v>6082710017</v>
      </c>
      <c r="H169" s="103" t="s">
        <v>662</v>
      </c>
      <c r="I169" s="103" t="s">
        <v>406</v>
      </c>
      <c r="J169" s="103" t="s">
        <v>677</v>
      </c>
      <c r="K169" s="103" t="s">
        <v>308</v>
      </c>
      <c r="L169" s="104">
        <v>43164</v>
      </c>
      <c r="M169" s="104">
        <v>31725</v>
      </c>
    </row>
    <row r="170" spans="1:13">
      <c r="A170" s="103">
        <v>529328</v>
      </c>
      <c r="B170" s="103" t="s">
        <v>1001</v>
      </c>
      <c r="C170" s="103">
        <v>1116545636</v>
      </c>
      <c r="D170" s="103" t="s">
        <v>1002</v>
      </c>
      <c r="E170" s="103" t="s">
        <v>666</v>
      </c>
      <c r="F170" s="103" t="s">
        <v>680</v>
      </c>
      <c r="G170" s="103">
        <v>6082810017</v>
      </c>
      <c r="H170" s="103" t="s">
        <v>674</v>
      </c>
      <c r="I170" s="103" t="s">
        <v>406</v>
      </c>
      <c r="J170" s="103" t="s">
        <v>677</v>
      </c>
      <c r="K170" s="103" t="s">
        <v>391</v>
      </c>
      <c r="L170" s="104">
        <v>41134</v>
      </c>
      <c r="M170" s="104">
        <v>32873</v>
      </c>
    </row>
    <row r="171" spans="1:13">
      <c r="A171" s="103">
        <v>621710</v>
      </c>
      <c r="B171" s="103" t="s">
        <v>1003</v>
      </c>
      <c r="C171" s="103">
        <v>1121893510</v>
      </c>
      <c r="D171" s="103" t="s">
        <v>1004</v>
      </c>
      <c r="E171" s="103" t="s">
        <v>655</v>
      </c>
      <c r="F171" s="103" t="s">
        <v>656</v>
      </c>
      <c r="G171" s="103">
        <v>6084210712</v>
      </c>
      <c r="H171" s="103" t="s">
        <v>657</v>
      </c>
      <c r="I171" s="103" t="s">
        <v>406</v>
      </c>
      <c r="J171" s="103" t="s">
        <v>663</v>
      </c>
      <c r="K171" s="103" t="s">
        <v>277</v>
      </c>
      <c r="L171" s="104">
        <v>43164</v>
      </c>
      <c r="M171" s="104">
        <v>33895</v>
      </c>
    </row>
    <row r="172" spans="1:13">
      <c r="A172" s="103">
        <v>649818</v>
      </c>
      <c r="B172" s="103" t="s">
        <v>1005</v>
      </c>
      <c r="C172" s="103">
        <v>1019098482</v>
      </c>
      <c r="D172" s="103" t="s">
        <v>1006</v>
      </c>
      <c r="E172" s="103" t="s">
        <v>666</v>
      </c>
      <c r="F172" s="103" t="s">
        <v>656</v>
      </c>
      <c r="G172" s="103">
        <v>6082710017</v>
      </c>
      <c r="H172" s="103" t="s">
        <v>662</v>
      </c>
      <c r="I172" s="103" t="s">
        <v>406</v>
      </c>
      <c r="J172" s="103" t="s">
        <v>677</v>
      </c>
      <c r="K172" s="103" t="s">
        <v>481</v>
      </c>
      <c r="L172" s="104">
        <v>43444</v>
      </c>
      <c r="M172" s="104">
        <v>34549</v>
      </c>
    </row>
    <row r="173" spans="1:13">
      <c r="A173" s="103">
        <v>488104</v>
      </c>
      <c r="B173" s="103" t="s">
        <v>1007</v>
      </c>
      <c r="C173" s="103">
        <v>74130580</v>
      </c>
      <c r="D173" s="103" t="s">
        <v>1008</v>
      </c>
      <c r="E173" s="103" t="s">
        <v>727</v>
      </c>
      <c r="F173" s="103" t="s">
        <v>680</v>
      </c>
      <c r="G173" s="103">
        <v>6084210017</v>
      </c>
      <c r="H173" s="103" t="s">
        <v>691</v>
      </c>
      <c r="I173" s="103" t="s">
        <v>406</v>
      </c>
      <c r="J173" s="103" t="s">
        <v>677</v>
      </c>
      <c r="K173" s="103" t="s">
        <v>391</v>
      </c>
      <c r="L173" s="104">
        <v>40522</v>
      </c>
      <c r="M173" s="104">
        <v>30112</v>
      </c>
    </row>
    <row r="174" spans="1:13">
      <c r="A174" s="103">
        <v>664872</v>
      </c>
      <c r="B174" s="103" t="s">
        <v>1009</v>
      </c>
      <c r="C174" s="103">
        <v>1121866148</v>
      </c>
      <c r="D174" s="103" t="s">
        <v>1010</v>
      </c>
      <c r="E174" s="103" t="s">
        <v>655</v>
      </c>
      <c r="F174" s="103" t="s">
        <v>656</v>
      </c>
      <c r="G174" s="103">
        <v>6084210017</v>
      </c>
      <c r="H174" s="103" t="s">
        <v>691</v>
      </c>
      <c r="I174" s="103" t="s">
        <v>406</v>
      </c>
      <c r="J174" s="103" t="s">
        <v>677</v>
      </c>
      <c r="K174" s="103" t="s">
        <v>481</v>
      </c>
      <c r="L174" s="104">
        <v>43774</v>
      </c>
      <c r="M174" s="104">
        <v>33020</v>
      </c>
    </row>
    <row r="175" spans="1:13">
      <c r="A175" s="103">
        <v>587777</v>
      </c>
      <c r="B175" s="103" t="s">
        <v>1099</v>
      </c>
      <c r="C175" s="103">
        <v>1117784895</v>
      </c>
      <c r="D175" s="103" t="s">
        <v>1100</v>
      </c>
      <c r="E175" s="103" t="s">
        <v>655</v>
      </c>
      <c r="F175" s="103" t="s">
        <v>680</v>
      </c>
      <c r="G175" s="103">
        <v>6082710017</v>
      </c>
      <c r="H175" s="103" t="s">
        <v>662</v>
      </c>
      <c r="I175" s="103" t="s">
        <v>406</v>
      </c>
      <c r="J175" s="103" t="s">
        <v>677</v>
      </c>
      <c r="K175" s="103" t="s">
        <v>294</v>
      </c>
      <c r="L175" s="104">
        <v>44634</v>
      </c>
      <c r="M175" s="104">
        <v>32817</v>
      </c>
    </row>
    <row r="176" spans="1:13">
      <c r="A176" s="103">
        <v>633209</v>
      </c>
      <c r="B176" s="103" t="s">
        <v>1011</v>
      </c>
      <c r="C176" s="103">
        <v>1083884858</v>
      </c>
      <c r="D176" s="103" t="s">
        <v>1012</v>
      </c>
      <c r="E176" s="103" t="s">
        <v>655</v>
      </c>
      <c r="F176" s="103" t="s">
        <v>661</v>
      </c>
      <c r="G176" s="103">
        <v>6082710712</v>
      </c>
      <c r="H176" s="103" t="s">
        <v>662</v>
      </c>
      <c r="I176" s="103" t="s">
        <v>406</v>
      </c>
      <c r="J176" s="103" t="s">
        <v>663</v>
      </c>
      <c r="K176" s="103" t="s">
        <v>392</v>
      </c>
      <c r="L176" s="104">
        <v>43192</v>
      </c>
      <c r="M176" s="104">
        <v>32858</v>
      </c>
    </row>
    <row r="177" spans="1:13">
      <c r="A177" s="103">
        <v>685718</v>
      </c>
      <c r="B177" s="103" t="s">
        <v>1013</v>
      </c>
      <c r="C177" s="103">
        <v>1075272493</v>
      </c>
      <c r="D177" s="103" t="s">
        <v>1014</v>
      </c>
      <c r="E177" s="103" t="s">
        <v>666</v>
      </c>
      <c r="F177" s="103" t="s">
        <v>680</v>
      </c>
      <c r="G177" s="103">
        <v>6082710017</v>
      </c>
      <c r="H177" s="103" t="s">
        <v>662</v>
      </c>
      <c r="I177" s="103" t="s">
        <v>406</v>
      </c>
      <c r="J177" s="103" t="s">
        <v>677</v>
      </c>
      <c r="K177" s="103" t="s">
        <v>481</v>
      </c>
      <c r="L177" s="104">
        <v>44564</v>
      </c>
      <c r="M177" s="104">
        <v>34155</v>
      </c>
    </row>
    <row r="178" spans="1:13">
      <c r="A178" s="103">
        <v>686964</v>
      </c>
      <c r="B178" s="103" t="s">
        <v>1015</v>
      </c>
      <c r="C178" s="103">
        <v>1075273575</v>
      </c>
      <c r="D178" s="103" t="s">
        <v>1016</v>
      </c>
      <c r="E178" s="103" t="s">
        <v>666</v>
      </c>
      <c r="F178" s="103" t="s">
        <v>680</v>
      </c>
      <c r="G178" s="103">
        <v>6082710017</v>
      </c>
      <c r="H178" s="103" t="s">
        <v>662</v>
      </c>
      <c r="I178" s="103" t="s">
        <v>406</v>
      </c>
      <c r="J178" s="103" t="s">
        <v>677</v>
      </c>
      <c r="K178" s="103" t="s">
        <v>481</v>
      </c>
      <c r="L178" s="104">
        <v>44578</v>
      </c>
      <c r="M178" s="104">
        <v>33853</v>
      </c>
    </row>
    <row r="179" spans="1:13">
      <c r="A179" s="103">
        <v>477653</v>
      </c>
      <c r="B179" s="103" t="s">
        <v>1017</v>
      </c>
      <c r="C179" s="103">
        <v>1085253904</v>
      </c>
      <c r="D179" s="103" t="s">
        <v>1018</v>
      </c>
      <c r="E179" s="103" t="s">
        <v>655</v>
      </c>
      <c r="F179" s="103" t="s">
        <v>656</v>
      </c>
      <c r="G179" s="103">
        <v>6082710017</v>
      </c>
      <c r="H179" s="103" t="s">
        <v>662</v>
      </c>
      <c r="I179" s="103" t="s">
        <v>406</v>
      </c>
      <c r="J179" s="103" t="s">
        <v>677</v>
      </c>
      <c r="K179" s="103" t="s">
        <v>391</v>
      </c>
      <c r="L179" s="104">
        <v>43164</v>
      </c>
      <c r="M179" s="104">
        <v>31708</v>
      </c>
    </row>
    <row r="180" spans="1:13">
      <c r="A180" s="103">
        <v>645132</v>
      </c>
      <c r="B180" s="103" t="s">
        <v>1019</v>
      </c>
      <c r="C180" s="103">
        <v>1026254891</v>
      </c>
      <c r="D180" s="103" t="s">
        <v>1020</v>
      </c>
      <c r="E180" s="103" t="s">
        <v>666</v>
      </c>
      <c r="F180" s="103" t="s">
        <v>656</v>
      </c>
      <c r="G180" s="103">
        <v>6082710712</v>
      </c>
      <c r="H180" s="103" t="s">
        <v>662</v>
      </c>
      <c r="I180" s="103" t="s">
        <v>406</v>
      </c>
      <c r="J180" s="103" t="s">
        <v>663</v>
      </c>
      <c r="K180" s="103" t="s">
        <v>470</v>
      </c>
      <c r="L180" s="104">
        <v>43360</v>
      </c>
      <c r="M180" s="104">
        <v>31856</v>
      </c>
    </row>
    <row r="181" spans="1:13">
      <c r="A181" s="103">
        <v>687129</v>
      </c>
      <c r="B181" s="103" t="s">
        <v>1021</v>
      </c>
      <c r="C181" s="103">
        <v>1075261456</v>
      </c>
      <c r="D181" s="103" t="s">
        <v>1022</v>
      </c>
      <c r="E181" s="103" t="s">
        <v>655</v>
      </c>
      <c r="F181" s="103" t="s">
        <v>680</v>
      </c>
      <c r="G181" s="103">
        <v>6082710017</v>
      </c>
      <c r="H181" s="103" t="s">
        <v>662</v>
      </c>
      <c r="I181" s="103" t="s">
        <v>406</v>
      </c>
      <c r="J181" s="103" t="s">
        <v>677</v>
      </c>
      <c r="K181" s="103" t="s">
        <v>481</v>
      </c>
      <c r="L181" s="104">
        <v>44578</v>
      </c>
      <c r="M181" s="104">
        <v>33717</v>
      </c>
    </row>
    <row r="182" spans="1:13">
      <c r="A182" s="103">
        <v>517255</v>
      </c>
      <c r="B182" s="103" t="s">
        <v>1023</v>
      </c>
      <c r="C182" s="103">
        <v>1022340031</v>
      </c>
      <c r="D182" s="103" t="s">
        <v>1024</v>
      </c>
      <c r="E182" s="103" t="s">
        <v>666</v>
      </c>
      <c r="F182" s="103" t="s">
        <v>680</v>
      </c>
      <c r="G182" s="103">
        <v>6084210017</v>
      </c>
      <c r="H182" s="103" t="s">
        <v>691</v>
      </c>
      <c r="I182" s="103" t="s">
        <v>406</v>
      </c>
      <c r="J182" s="103" t="s">
        <v>677</v>
      </c>
      <c r="K182" s="103" t="s">
        <v>391</v>
      </c>
      <c r="L182" s="104">
        <v>40952</v>
      </c>
      <c r="M182" s="104">
        <v>32056</v>
      </c>
    </row>
    <row r="183" spans="1:13">
      <c r="A183" s="103">
        <v>587896</v>
      </c>
      <c r="B183" s="103" t="s">
        <v>1025</v>
      </c>
      <c r="C183" s="103">
        <v>7729786</v>
      </c>
      <c r="D183" s="103" t="s">
        <v>1026</v>
      </c>
      <c r="E183" s="103" t="s">
        <v>655</v>
      </c>
      <c r="F183" s="103" t="s">
        <v>680</v>
      </c>
      <c r="G183" s="103">
        <v>6084210017</v>
      </c>
      <c r="H183" s="103" t="s">
        <v>657</v>
      </c>
      <c r="I183" s="103" t="s">
        <v>406</v>
      </c>
      <c r="J183" s="103" t="s">
        <v>677</v>
      </c>
      <c r="K183" s="103" t="s">
        <v>308</v>
      </c>
      <c r="L183" s="104">
        <v>42675</v>
      </c>
      <c r="M183" s="104">
        <v>30948</v>
      </c>
    </row>
    <row r="184" spans="1:13">
      <c r="A184" s="103">
        <v>614714</v>
      </c>
      <c r="B184" s="103" t="s">
        <v>1027</v>
      </c>
      <c r="C184" s="103">
        <v>1096202335</v>
      </c>
      <c r="D184" s="103" t="s">
        <v>1028</v>
      </c>
      <c r="E184" s="103" t="s">
        <v>655</v>
      </c>
      <c r="F184" s="103" t="s">
        <v>656</v>
      </c>
      <c r="G184" s="103">
        <v>6082710712</v>
      </c>
      <c r="H184" s="103" t="s">
        <v>662</v>
      </c>
      <c r="I184" s="103" t="s">
        <v>406</v>
      </c>
      <c r="J184" s="103" t="s">
        <v>663</v>
      </c>
      <c r="K184" s="103" t="s">
        <v>318</v>
      </c>
      <c r="L184" s="104">
        <v>42847</v>
      </c>
      <c r="M184" s="104">
        <v>32820</v>
      </c>
    </row>
    <row r="185" spans="1:13">
      <c r="A185" s="103">
        <v>691471</v>
      </c>
      <c r="B185" s="103" t="s">
        <v>1121</v>
      </c>
      <c r="C185" s="103">
        <v>1100964396</v>
      </c>
      <c r="D185" s="103" t="s">
        <v>1122</v>
      </c>
      <c r="E185" s="103" t="s">
        <v>655</v>
      </c>
      <c r="F185" s="103" t="s">
        <v>656</v>
      </c>
      <c r="G185" s="103">
        <v>6082570700</v>
      </c>
      <c r="H185" s="103" t="s">
        <v>722</v>
      </c>
      <c r="I185" s="103" t="s">
        <v>278</v>
      </c>
      <c r="J185" s="103" t="s">
        <v>736</v>
      </c>
      <c r="K185" s="103" t="s">
        <v>470</v>
      </c>
      <c r="L185" s="104">
        <v>44690</v>
      </c>
      <c r="M185" s="104">
        <v>34292</v>
      </c>
    </row>
    <row r="186" spans="1:13">
      <c r="A186" s="103">
        <v>603438</v>
      </c>
      <c r="B186" s="103" t="s">
        <v>1029</v>
      </c>
      <c r="C186" s="103">
        <v>1075279429</v>
      </c>
      <c r="D186" s="103" t="s">
        <v>1030</v>
      </c>
      <c r="E186" s="103" t="s">
        <v>655</v>
      </c>
      <c r="F186" s="103" t="s">
        <v>656</v>
      </c>
      <c r="G186" s="103">
        <v>6082710016</v>
      </c>
      <c r="H186" s="103" t="s">
        <v>662</v>
      </c>
      <c r="I186" s="103" t="s">
        <v>278</v>
      </c>
      <c r="J186" s="103" t="s">
        <v>658</v>
      </c>
      <c r="K186" s="103" t="s">
        <v>318</v>
      </c>
      <c r="L186" s="104">
        <v>42689</v>
      </c>
      <c r="M186" s="104">
        <v>34455</v>
      </c>
    </row>
    <row r="187" spans="1:13">
      <c r="A187" s="103">
        <v>677056</v>
      </c>
      <c r="B187" s="103" t="s">
        <v>1031</v>
      </c>
      <c r="C187" s="103">
        <v>1104135715</v>
      </c>
      <c r="D187" s="103" t="s">
        <v>1032</v>
      </c>
      <c r="E187" s="103" t="s">
        <v>655</v>
      </c>
      <c r="F187" s="103" t="s">
        <v>656</v>
      </c>
      <c r="G187" s="103">
        <v>6082710712</v>
      </c>
      <c r="H187" s="103" t="s">
        <v>698</v>
      </c>
      <c r="I187" s="103" t="s">
        <v>406</v>
      </c>
      <c r="J187" s="103" t="s">
        <v>663</v>
      </c>
      <c r="K187" s="103" t="s">
        <v>392</v>
      </c>
      <c r="L187" s="104">
        <v>44298</v>
      </c>
      <c r="M187" s="104">
        <v>35795</v>
      </c>
    </row>
    <row r="188" spans="1:13">
      <c r="A188" s="103">
        <v>588750</v>
      </c>
      <c r="B188" s="103" t="s">
        <v>1033</v>
      </c>
      <c r="C188" s="103">
        <v>7719883</v>
      </c>
      <c r="D188" s="103" t="s">
        <v>1034</v>
      </c>
      <c r="E188" s="103" t="s">
        <v>655</v>
      </c>
      <c r="F188" s="103" t="s">
        <v>656</v>
      </c>
      <c r="G188" s="103">
        <v>6082710017</v>
      </c>
      <c r="H188" s="103" t="s">
        <v>662</v>
      </c>
      <c r="I188" s="103" t="s">
        <v>406</v>
      </c>
      <c r="J188" s="103" t="s">
        <v>677</v>
      </c>
      <c r="K188" s="103" t="s">
        <v>318</v>
      </c>
      <c r="L188" s="104">
        <v>44169</v>
      </c>
      <c r="M188" s="104">
        <v>29914</v>
      </c>
    </row>
    <row r="189" spans="1:13">
      <c r="A189" s="103">
        <v>243002</v>
      </c>
      <c r="B189" s="103" t="s">
        <v>1035</v>
      </c>
      <c r="C189" s="103">
        <v>83254202</v>
      </c>
      <c r="D189" s="103" t="s">
        <v>1036</v>
      </c>
      <c r="E189" s="103" t="s">
        <v>666</v>
      </c>
      <c r="F189" s="103" t="s">
        <v>656</v>
      </c>
      <c r="G189" s="103">
        <v>6082710016</v>
      </c>
      <c r="H189" s="103" t="s">
        <v>662</v>
      </c>
      <c r="I189" s="103" t="s">
        <v>278</v>
      </c>
      <c r="J189" s="103" t="s">
        <v>658</v>
      </c>
      <c r="K189" s="103" t="s">
        <v>510</v>
      </c>
      <c r="L189" s="104">
        <v>38400</v>
      </c>
      <c r="M189" s="104">
        <v>29480</v>
      </c>
    </row>
    <row r="190" spans="1:13">
      <c r="A190" s="103">
        <v>468745</v>
      </c>
      <c r="B190" s="103" t="s">
        <v>1037</v>
      </c>
      <c r="C190" s="103">
        <v>17421136</v>
      </c>
      <c r="D190" s="103" t="s">
        <v>1038</v>
      </c>
      <c r="E190" s="103" t="s">
        <v>655</v>
      </c>
      <c r="F190" s="103" t="s">
        <v>656</v>
      </c>
      <c r="G190" s="103">
        <v>6084210017</v>
      </c>
      <c r="H190" s="103" t="s">
        <v>657</v>
      </c>
      <c r="I190" s="103" t="s">
        <v>406</v>
      </c>
      <c r="J190" s="103" t="s">
        <v>677</v>
      </c>
      <c r="K190" s="103" t="s">
        <v>391</v>
      </c>
      <c r="L190" s="104">
        <v>44169</v>
      </c>
      <c r="M190" s="104">
        <v>29877</v>
      </c>
    </row>
    <row r="191" spans="1:13">
      <c r="A191" s="103">
        <v>682141</v>
      </c>
      <c r="B191" s="103" t="s">
        <v>1039</v>
      </c>
      <c r="C191" s="103">
        <v>1096216652</v>
      </c>
      <c r="D191" s="103" t="s">
        <v>1040</v>
      </c>
      <c r="E191" s="103" t="s">
        <v>655</v>
      </c>
      <c r="F191" s="103" t="s">
        <v>680</v>
      </c>
      <c r="G191" s="103">
        <v>6084210017</v>
      </c>
      <c r="H191" s="103" t="s">
        <v>698</v>
      </c>
      <c r="I191" s="103" t="s">
        <v>406</v>
      </c>
      <c r="J191" s="103" t="s">
        <v>677</v>
      </c>
      <c r="K191" s="103" t="s">
        <v>426</v>
      </c>
      <c r="L191" s="104">
        <v>44445</v>
      </c>
      <c r="M191" s="104">
        <v>33801</v>
      </c>
    </row>
    <row r="192" spans="1:13">
      <c r="A192" s="103">
        <v>632331</v>
      </c>
      <c r="B192" s="103" t="s">
        <v>1041</v>
      </c>
      <c r="C192" s="103">
        <v>7718333</v>
      </c>
      <c r="D192" s="103" t="s">
        <v>1042</v>
      </c>
      <c r="E192" s="103" t="s">
        <v>655</v>
      </c>
      <c r="F192" s="103" t="s">
        <v>661</v>
      </c>
      <c r="G192" s="103">
        <v>6082710712</v>
      </c>
      <c r="H192" s="103" t="s">
        <v>662</v>
      </c>
      <c r="I192" s="103" t="s">
        <v>406</v>
      </c>
      <c r="J192" s="103" t="s">
        <v>663</v>
      </c>
      <c r="K192" s="103" t="s">
        <v>392</v>
      </c>
      <c r="L192" s="104">
        <v>43171</v>
      </c>
      <c r="M192" s="104">
        <v>29545</v>
      </c>
    </row>
    <row r="193" spans="1:13">
      <c r="A193" s="103">
        <v>628363</v>
      </c>
      <c r="B193" s="103" t="s">
        <v>1043</v>
      </c>
      <c r="C193" s="103">
        <v>12263412</v>
      </c>
      <c r="D193" s="103" t="s">
        <v>1044</v>
      </c>
      <c r="E193" s="103" t="s">
        <v>655</v>
      </c>
      <c r="F193" s="103" t="s">
        <v>661</v>
      </c>
      <c r="G193" s="103">
        <v>6082710712</v>
      </c>
      <c r="H193" s="103" t="s">
        <v>662</v>
      </c>
      <c r="I193" s="103" t="s">
        <v>406</v>
      </c>
      <c r="J193" s="103" t="s">
        <v>663</v>
      </c>
      <c r="K193" s="103" t="s">
        <v>392</v>
      </c>
      <c r="L193" s="104">
        <v>43109</v>
      </c>
      <c r="M193" s="104">
        <v>28738</v>
      </c>
    </row>
    <row r="194" spans="1:13">
      <c r="A194" s="103">
        <v>587814</v>
      </c>
      <c r="B194" s="103" t="s">
        <v>1045</v>
      </c>
      <c r="C194" s="103">
        <v>1052965410</v>
      </c>
      <c r="D194" s="103" t="s">
        <v>1046</v>
      </c>
      <c r="E194" s="103" t="s">
        <v>666</v>
      </c>
      <c r="F194" s="103" t="s">
        <v>680</v>
      </c>
      <c r="G194" s="103">
        <v>6082710712</v>
      </c>
      <c r="H194" s="103" t="s">
        <v>662</v>
      </c>
      <c r="I194" s="103" t="s">
        <v>406</v>
      </c>
      <c r="J194" s="103" t="s">
        <v>663</v>
      </c>
      <c r="K194" s="103" t="s">
        <v>277</v>
      </c>
      <c r="L194" s="104">
        <v>42689</v>
      </c>
      <c r="M194" s="104">
        <v>32755</v>
      </c>
    </row>
    <row r="195" spans="1:13">
      <c r="A195" s="103">
        <v>502598</v>
      </c>
      <c r="B195" s="103" t="s">
        <v>1047</v>
      </c>
      <c r="C195" s="103">
        <v>9433712</v>
      </c>
      <c r="D195" s="103" t="s">
        <v>1048</v>
      </c>
      <c r="E195" s="103" t="s">
        <v>727</v>
      </c>
      <c r="F195" s="103" t="s">
        <v>656</v>
      </c>
      <c r="G195" s="103">
        <v>6082810017</v>
      </c>
      <c r="H195" s="103" t="s">
        <v>674</v>
      </c>
      <c r="I195" s="103" t="s">
        <v>406</v>
      </c>
      <c r="J195" s="103" t="s">
        <v>677</v>
      </c>
      <c r="K195" s="103" t="s">
        <v>303</v>
      </c>
      <c r="L195" s="104">
        <v>40759</v>
      </c>
      <c r="M195" s="104">
        <v>30982</v>
      </c>
    </row>
    <row r="196" spans="1:13">
      <c r="A196" s="103">
        <v>673193</v>
      </c>
      <c r="B196" s="103" t="s">
        <v>1049</v>
      </c>
      <c r="C196" s="103">
        <v>1042210272</v>
      </c>
      <c r="D196" s="103" t="s">
        <v>1050</v>
      </c>
      <c r="E196" s="103" t="s">
        <v>655</v>
      </c>
      <c r="F196" s="103" t="s">
        <v>656</v>
      </c>
      <c r="G196" s="103">
        <v>6084210017</v>
      </c>
      <c r="H196" s="103" t="s">
        <v>698</v>
      </c>
      <c r="I196" s="103" t="s">
        <v>406</v>
      </c>
      <c r="J196" s="103" t="s">
        <v>677</v>
      </c>
      <c r="K196" s="103" t="s">
        <v>426</v>
      </c>
      <c r="L196" s="104">
        <v>44155</v>
      </c>
      <c r="M196" s="104">
        <v>31648</v>
      </c>
    </row>
    <row r="197" spans="1:13">
      <c r="A197" s="103">
        <v>607707</v>
      </c>
      <c r="B197" s="103" t="s">
        <v>1051</v>
      </c>
      <c r="C197" s="103">
        <v>1075251513</v>
      </c>
      <c r="D197" s="103" t="s">
        <v>1052</v>
      </c>
      <c r="E197" s="103" t="s">
        <v>655</v>
      </c>
      <c r="F197" s="103" t="s">
        <v>656</v>
      </c>
      <c r="G197" s="103">
        <v>6082710016</v>
      </c>
      <c r="H197" s="103" t="s">
        <v>662</v>
      </c>
      <c r="I197" s="103" t="s">
        <v>278</v>
      </c>
      <c r="J197" s="103" t="s">
        <v>658</v>
      </c>
      <c r="K197" s="103" t="s">
        <v>318</v>
      </c>
      <c r="L197" s="104">
        <v>42689</v>
      </c>
      <c r="M197" s="104">
        <v>33304</v>
      </c>
    </row>
    <row r="198" spans="1:13">
      <c r="A198" s="103">
        <v>632499</v>
      </c>
      <c r="B198" s="103" t="s">
        <v>1053</v>
      </c>
      <c r="C198" s="103">
        <v>1075238324</v>
      </c>
      <c r="D198" s="103" t="s">
        <v>1054</v>
      </c>
      <c r="E198" s="103" t="s">
        <v>666</v>
      </c>
      <c r="F198" s="103" t="s">
        <v>656</v>
      </c>
      <c r="G198" s="103">
        <v>6084210017</v>
      </c>
      <c r="H198" s="103" t="s">
        <v>657</v>
      </c>
      <c r="I198" s="103" t="s">
        <v>406</v>
      </c>
      <c r="J198" s="103" t="s">
        <v>677</v>
      </c>
      <c r="K198" s="103" t="s">
        <v>391</v>
      </c>
      <c r="L198" s="104">
        <v>43171</v>
      </c>
      <c r="M198" s="104">
        <v>32685</v>
      </c>
    </row>
    <row r="199" spans="1:13">
      <c r="A199" s="103">
        <v>632554</v>
      </c>
      <c r="B199" s="103" t="s">
        <v>1055</v>
      </c>
      <c r="C199" s="103">
        <v>1075274403</v>
      </c>
      <c r="D199" s="103" t="s">
        <v>1056</v>
      </c>
      <c r="E199" s="103" t="s">
        <v>655</v>
      </c>
      <c r="F199" s="103" t="s">
        <v>661</v>
      </c>
      <c r="G199" s="103">
        <v>6082710017</v>
      </c>
      <c r="H199" s="103" t="s">
        <v>662</v>
      </c>
      <c r="I199" s="103" t="s">
        <v>406</v>
      </c>
      <c r="J199" s="103" t="s">
        <v>677</v>
      </c>
      <c r="K199" s="103" t="s">
        <v>426</v>
      </c>
      <c r="L199" s="104">
        <v>43171</v>
      </c>
      <c r="M199" s="104">
        <v>34182</v>
      </c>
    </row>
    <row r="200" spans="1:13">
      <c r="A200" s="103">
        <v>455135</v>
      </c>
      <c r="B200" s="103" t="s">
        <v>1057</v>
      </c>
      <c r="C200" s="103">
        <v>7728138</v>
      </c>
      <c r="D200" s="103" t="s">
        <v>1058</v>
      </c>
      <c r="E200" s="103" t="s">
        <v>727</v>
      </c>
      <c r="F200" s="103" t="s">
        <v>656</v>
      </c>
      <c r="G200" s="103">
        <v>6082710016</v>
      </c>
      <c r="H200" s="103" t="s">
        <v>662</v>
      </c>
      <c r="I200" s="103" t="s">
        <v>278</v>
      </c>
      <c r="J200" s="103" t="s">
        <v>658</v>
      </c>
      <c r="K200" s="103" t="s">
        <v>292</v>
      </c>
      <c r="L200" s="104">
        <v>39693</v>
      </c>
      <c r="M200" s="104">
        <v>30854</v>
      </c>
    </row>
    <row r="201" spans="1:13">
      <c r="A201" s="103">
        <v>683439</v>
      </c>
      <c r="B201" s="103" t="s">
        <v>1059</v>
      </c>
      <c r="C201" s="103">
        <v>1098634252</v>
      </c>
      <c r="D201" s="103" t="s">
        <v>1060</v>
      </c>
      <c r="E201" s="103" t="s">
        <v>655</v>
      </c>
      <c r="F201" s="103" t="s">
        <v>667</v>
      </c>
      <c r="G201" s="103">
        <v>6082570700</v>
      </c>
      <c r="H201" s="103" t="s">
        <v>722</v>
      </c>
      <c r="I201" s="103" t="s">
        <v>278</v>
      </c>
      <c r="J201" s="103" t="s">
        <v>736</v>
      </c>
      <c r="K201" s="103" t="s">
        <v>447</v>
      </c>
      <c r="L201" s="104">
        <v>44480</v>
      </c>
      <c r="M201" s="104">
        <v>31907</v>
      </c>
    </row>
    <row r="202" spans="1:13">
      <c r="A202" s="103">
        <v>649782</v>
      </c>
      <c r="B202" s="103" t="s">
        <v>1061</v>
      </c>
      <c r="C202" s="103">
        <v>1075276760</v>
      </c>
      <c r="D202" s="103" t="s">
        <v>1062</v>
      </c>
      <c r="E202" s="103" t="s">
        <v>666</v>
      </c>
      <c r="F202" s="103" t="s">
        <v>656</v>
      </c>
      <c r="G202" s="103">
        <v>6082710017</v>
      </c>
      <c r="H202" s="103" t="s">
        <v>662</v>
      </c>
      <c r="I202" s="103" t="s">
        <v>406</v>
      </c>
      <c r="J202" s="103" t="s">
        <v>677</v>
      </c>
      <c r="K202" s="103" t="s">
        <v>481</v>
      </c>
      <c r="L202" s="104">
        <v>43444</v>
      </c>
      <c r="M202" s="104">
        <v>34338</v>
      </c>
    </row>
    <row r="203" spans="1:13">
      <c r="A203" s="103">
        <v>649781</v>
      </c>
      <c r="B203" s="103" t="s">
        <v>1063</v>
      </c>
      <c r="C203" s="103">
        <v>1037597296</v>
      </c>
      <c r="D203" s="103" t="s">
        <v>1064</v>
      </c>
      <c r="E203" s="103" t="s">
        <v>666</v>
      </c>
      <c r="F203" s="103" t="s">
        <v>656</v>
      </c>
      <c r="G203" s="103">
        <v>6082710712</v>
      </c>
      <c r="H203" s="103" t="s">
        <v>662</v>
      </c>
      <c r="I203" s="103" t="s">
        <v>406</v>
      </c>
      <c r="J203" s="103" t="s">
        <v>663</v>
      </c>
      <c r="K203" s="103" t="s">
        <v>470</v>
      </c>
      <c r="L203" s="104">
        <v>43444</v>
      </c>
      <c r="M203" s="104">
        <v>32695</v>
      </c>
    </row>
    <row r="204" spans="1:13">
      <c r="A204" s="103">
        <v>675390</v>
      </c>
      <c r="B204" s="103" t="s">
        <v>1065</v>
      </c>
      <c r="C204" s="103">
        <v>1186233</v>
      </c>
      <c r="D204" s="103" t="s">
        <v>1066</v>
      </c>
      <c r="E204" s="103" t="s">
        <v>655</v>
      </c>
      <c r="F204" s="103" t="s">
        <v>667</v>
      </c>
      <c r="G204" s="103">
        <v>6084110014</v>
      </c>
      <c r="H204" s="103" t="s">
        <v>698</v>
      </c>
      <c r="I204" s="103" t="s">
        <v>406</v>
      </c>
      <c r="J204" s="103" t="s">
        <v>709</v>
      </c>
      <c r="K204" s="103" t="s">
        <v>560</v>
      </c>
      <c r="L204" s="104">
        <v>44243</v>
      </c>
      <c r="M204" s="104">
        <v>31331</v>
      </c>
    </row>
    <row r="205" spans="1:13">
      <c r="A205" s="103">
        <v>633210</v>
      </c>
      <c r="B205" s="103" t="s">
        <v>1067</v>
      </c>
      <c r="C205" s="103">
        <v>1075673501</v>
      </c>
      <c r="D205" s="103" t="s">
        <v>1068</v>
      </c>
      <c r="E205" s="103" t="s">
        <v>655</v>
      </c>
      <c r="F205" s="103" t="s">
        <v>661</v>
      </c>
      <c r="G205" s="103">
        <v>6082710712</v>
      </c>
      <c r="H205" s="103" t="s">
        <v>662</v>
      </c>
      <c r="I205" s="103" t="s">
        <v>406</v>
      </c>
      <c r="J205" s="103" t="s">
        <v>663</v>
      </c>
      <c r="K205" s="103" t="s">
        <v>392</v>
      </c>
      <c r="L205" s="104">
        <v>43192</v>
      </c>
      <c r="M205" s="104">
        <v>34465</v>
      </c>
    </row>
    <row r="206" spans="1:13">
      <c r="A206" s="103">
        <v>478192</v>
      </c>
      <c r="B206" s="103" t="s">
        <v>1069</v>
      </c>
      <c r="C206" s="103">
        <v>1122337340</v>
      </c>
      <c r="D206" s="103" t="s">
        <v>1070</v>
      </c>
      <c r="E206" s="103" t="s">
        <v>666</v>
      </c>
      <c r="F206" s="103" t="s">
        <v>656</v>
      </c>
      <c r="G206" s="103">
        <v>6082710017</v>
      </c>
      <c r="H206" s="103" t="s">
        <v>662</v>
      </c>
      <c r="I206" s="103" t="s">
        <v>406</v>
      </c>
      <c r="J206" s="103" t="s">
        <v>677</v>
      </c>
      <c r="K206" s="103" t="s">
        <v>391</v>
      </c>
      <c r="L206" s="104">
        <v>40371</v>
      </c>
      <c r="M206" s="104">
        <v>32139</v>
      </c>
    </row>
    <row r="207" spans="1:13">
      <c r="A207" s="103">
        <v>517444</v>
      </c>
      <c r="B207" s="103" t="s">
        <v>1071</v>
      </c>
      <c r="C207" s="103">
        <v>1085252815</v>
      </c>
      <c r="D207" s="103" t="s">
        <v>1072</v>
      </c>
      <c r="E207" s="103" t="s">
        <v>655</v>
      </c>
      <c r="F207" s="103" t="s">
        <v>656</v>
      </c>
      <c r="G207" s="103">
        <v>6082710017</v>
      </c>
      <c r="H207" s="103" t="s">
        <v>662</v>
      </c>
      <c r="I207" s="103" t="s">
        <v>406</v>
      </c>
      <c r="J207" s="103" t="s">
        <v>677</v>
      </c>
      <c r="K207" s="103" t="s">
        <v>303</v>
      </c>
      <c r="L207" s="104">
        <v>42689</v>
      </c>
      <c r="M207" s="104">
        <v>31631</v>
      </c>
    </row>
    <row r="208" spans="1:13">
      <c r="A208" s="103">
        <v>648033</v>
      </c>
      <c r="B208" s="103" t="s">
        <v>1073</v>
      </c>
      <c r="C208" s="103">
        <v>1118556240</v>
      </c>
      <c r="D208" s="103" t="s">
        <v>1074</v>
      </c>
      <c r="E208" s="103" t="s">
        <v>655</v>
      </c>
      <c r="F208" s="103" t="s">
        <v>680</v>
      </c>
      <c r="G208" s="103">
        <v>6082810017</v>
      </c>
      <c r="H208" s="103" t="s">
        <v>674</v>
      </c>
      <c r="I208" s="103" t="s">
        <v>406</v>
      </c>
      <c r="J208" s="103" t="s">
        <v>677</v>
      </c>
      <c r="K208" s="103" t="s">
        <v>426</v>
      </c>
      <c r="L208" s="104">
        <v>44270</v>
      </c>
      <c r="M208" s="104">
        <v>34325</v>
      </c>
    </row>
    <row r="209" spans="1:13">
      <c r="A209" s="103">
        <v>629160</v>
      </c>
      <c r="B209" s="103" t="s">
        <v>1075</v>
      </c>
      <c r="C209" s="103">
        <v>1075223274</v>
      </c>
      <c r="D209" s="103" t="s">
        <v>1076</v>
      </c>
      <c r="E209" s="103" t="s">
        <v>666</v>
      </c>
      <c r="F209" s="103" t="s">
        <v>680</v>
      </c>
      <c r="G209" s="103">
        <v>6082710017</v>
      </c>
      <c r="H209" s="103" t="s">
        <v>662</v>
      </c>
      <c r="I209" s="103" t="s">
        <v>406</v>
      </c>
      <c r="J209" s="103" t="s">
        <v>677</v>
      </c>
      <c r="K209" s="103" t="s">
        <v>390</v>
      </c>
      <c r="L209" s="104">
        <v>43109</v>
      </c>
      <c r="M209" s="104">
        <v>31997</v>
      </c>
    </row>
    <row r="210" spans="1:13">
      <c r="A210" s="103">
        <v>488108</v>
      </c>
      <c r="B210" s="103" t="s">
        <v>1077</v>
      </c>
      <c r="C210" s="103">
        <v>74181029</v>
      </c>
      <c r="D210" s="103" t="s">
        <v>1078</v>
      </c>
      <c r="E210" s="103" t="s">
        <v>666</v>
      </c>
      <c r="F210" s="103" t="s">
        <v>656</v>
      </c>
      <c r="G210" s="103">
        <v>6084210712</v>
      </c>
      <c r="H210" s="103" t="s">
        <v>657</v>
      </c>
      <c r="I210" s="103" t="s">
        <v>406</v>
      </c>
      <c r="J210" s="103" t="s">
        <v>663</v>
      </c>
      <c r="K210" s="103" t="s">
        <v>277</v>
      </c>
      <c r="L210" s="104">
        <v>40522</v>
      </c>
      <c r="M210" s="104">
        <v>27651</v>
      </c>
    </row>
    <row r="211" spans="1:13">
      <c r="A211" s="103">
        <v>524569</v>
      </c>
      <c r="B211" s="103" t="s">
        <v>1079</v>
      </c>
      <c r="C211" s="103">
        <v>1075252021</v>
      </c>
      <c r="D211" s="103" t="s">
        <v>1080</v>
      </c>
      <c r="E211" s="103" t="s">
        <v>666</v>
      </c>
      <c r="F211" s="103" t="s">
        <v>656</v>
      </c>
      <c r="G211" s="103">
        <v>6082710016</v>
      </c>
      <c r="H211" s="103" t="s">
        <v>662</v>
      </c>
      <c r="I211" s="103" t="s">
        <v>278</v>
      </c>
      <c r="J211" s="103" t="s">
        <v>658</v>
      </c>
      <c r="K211" s="103" t="s">
        <v>288</v>
      </c>
      <c r="L211" s="104">
        <v>41064</v>
      </c>
      <c r="M211" s="104">
        <v>33308</v>
      </c>
    </row>
    <row r="212" spans="1:13">
      <c r="A212" s="103">
        <v>598484</v>
      </c>
      <c r="B212" s="103" t="s">
        <v>1081</v>
      </c>
      <c r="C212" s="103">
        <v>7729019</v>
      </c>
      <c r="D212" s="103" t="s">
        <v>1082</v>
      </c>
      <c r="E212" s="103" t="s">
        <v>655</v>
      </c>
      <c r="F212" s="103" t="s">
        <v>656</v>
      </c>
      <c r="G212" s="103">
        <v>6082710016</v>
      </c>
      <c r="H212" s="103" t="s">
        <v>662</v>
      </c>
      <c r="I212" s="103" t="s">
        <v>278</v>
      </c>
      <c r="J212" s="103" t="s">
        <v>658</v>
      </c>
      <c r="K212" s="103" t="s">
        <v>318</v>
      </c>
      <c r="L212" s="104">
        <v>44215</v>
      </c>
      <c r="M212" s="104">
        <v>30848</v>
      </c>
    </row>
    <row r="213" spans="1:13">
      <c r="A213" s="103">
        <v>671285</v>
      </c>
      <c r="B213" s="103" t="s">
        <v>1083</v>
      </c>
      <c r="C213" s="103">
        <v>9656644</v>
      </c>
      <c r="D213" s="103" t="s">
        <v>1084</v>
      </c>
      <c r="E213" s="103" t="s">
        <v>655</v>
      </c>
      <c r="F213" s="103" t="s">
        <v>656</v>
      </c>
      <c r="G213" s="103">
        <v>6082810014</v>
      </c>
      <c r="H213" s="103" t="s">
        <v>674</v>
      </c>
      <c r="I213" s="103" t="s">
        <v>406</v>
      </c>
      <c r="J213" s="103" t="s">
        <v>709</v>
      </c>
      <c r="K213" s="103" t="s">
        <v>528</v>
      </c>
      <c r="L213" s="104">
        <v>44067</v>
      </c>
      <c r="M213" s="104">
        <v>24510</v>
      </c>
    </row>
    <row r="214" spans="1:13">
      <c r="A214" s="103">
        <v>488160</v>
      </c>
      <c r="B214" s="103" t="s">
        <v>1085</v>
      </c>
      <c r="C214" s="103">
        <v>7718167</v>
      </c>
      <c r="D214" s="103" t="s">
        <v>1086</v>
      </c>
      <c r="E214" s="103" t="s">
        <v>655</v>
      </c>
      <c r="F214" s="103" t="s">
        <v>680</v>
      </c>
      <c r="G214" s="103">
        <v>6082710712</v>
      </c>
      <c r="H214" s="103" t="s">
        <v>662</v>
      </c>
      <c r="I214" s="103" t="s">
        <v>406</v>
      </c>
      <c r="J214" s="103" t="s">
        <v>663</v>
      </c>
      <c r="K214" s="103" t="s">
        <v>277</v>
      </c>
      <c r="L214" s="104">
        <v>42675</v>
      </c>
      <c r="M214" s="104">
        <v>29827</v>
      </c>
    </row>
    <row r="215" spans="1:13">
      <c r="A215" s="103">
        <v>673680</v>
      </c>
      <c r="B215" s="103" t="s">
        <v>1087</v>
      </c>
      <c r="C215" s="103">
        <v>17446725</v>
      </c>
      <c r="D215" s="103" t="s">
        <v>1088</v>
      </c>
      <c r="E215" s="103" t="s">
        <v>655</v>
      </c>
      <c r="F215" s="103" t="s">
        <v>656</v>
      </c>
      <c r="G215" s="103">
        <v>6084210017</v>
      </c>
      <c r="H215" s="103" t="s">
        <v>657</v>
      </c>
      <c r="I215" s="103" t="s">
        <v>406</v>
      </c>
      <c r="J215" s="103" t="s">
        <v>677</v>
      </c>
      <c r="K215" s="103" t="s">
        <v>426</v>
      </c>
      <c r="L215" s="104">
        <v>44176</v>
      </c>
      <c r="M215" s="104">
        <v>28597</v>
      </c>
    </row>
    <row r="216" spans="1:13">
      <c r="A216" s="103">
        <v>634933</v>
      </c>
      <c r="B216" s="103" t="s">
        <v>1089</v>
      </c>
      <c r="C216" s="103">
        <v>1075275967</v>
      </c>
      <c r="D216" s="103" t="s">
        <v>1090</v>
      </c>
      <c r="E216" s="103" t="s">
        <v>655</v>
      </c>
      <c r="F216" s="103" t="s">
        <v>656</v>
      </c>
      <c r="G216" s="103">
        <v>6082710017</v>
      </c>
      <c r="H216" s="103" t="s">
        <v>662</v>
      </c>
      <c r="I216" s="103" t="s">
        <v>406</v>
      </c>
      <c r="J216" s="103" t="s">
        <v>677</v>
      </c>
      <c r="K216" s="103" t="s">
        <v>392</v>
      </c>
      <c r="L216" s="104">
        <v>44235</v>
      </c>
      <c r="M216" s="104">
        <v>34314</v>
      </c>
    </row>
    <row r="217" spans="1:13">
      <c r="A217" s="103">
        <v>588917</v>
      </c>
      <c r="B217" s="103" t="s">
        <v>1091</v>
      </c>
      <c r="C217" s="103">
        <v>1075540432</v>
      </c>
      <c r="D217" s="103" t="s">
        <v>1092</v>
      </c>
      <c r="E217" s="103" t="s">
        <v>655</v>
      </c>
      <c r="F217" s="103" t="s">
        <v>656</v>
      </c>
      <c r="G217" s="103">
        <v>6084210017</v>
      </c>
      <c r="H217" s="103" t="s">
        <v>657</v>
      </c>
      <c r="I217" s="103" t="s">
        <v>406</v>
      </c>
      <c r="J217" s="103" t="s">
        <v>677</v>
      </c>
      <c r="K217" s="103" t="s">
        <v>308</v>
      </c>
      <c r="L217" s="104">
        <v>42689</v>
      </c>
      <c r="M217" s="104">
        <v>32636</v>
      </c>
    </row>
    <row r="218" spans="1:13">
      <c r="A218" s="103">
        <v>114379</v>
      </c>
      <c r="B218" s="103" t="s">
        <v>1093</v>
      </c>
      <c r="C218" s="103">
        <v>16687573</v>
      </c>
      <c r="D218" s="103" t="s">
        <v>1094</v>
      </c>
      <c r="E218" s="103" t="s">
        <v>727</v>
      </c>
      <c r="F218" s="103" t="s">
        <v>656</v>
      </c>
      <c r="G218" s="103">
        <v>6082810712</v>
      </c>
      <c r="H218" s="103" t="s">
        <v>674</v>
      </c>
      <c r="I218" s="103" t="s">
        <v>406</v>
      </c>
      <c r="J218" s="103" t="s">
        <v>663</v>
      </c>
      <c r="K218" s="103" t="s">
        <v>277</v>
      </c>
      <c r="L218" s="104">
        <v>37655</v>
      </c>
      <c r="M218" s="104">
        <v>22817</v>
      </c>
    </row>
    <row r="219" spans="1:13">
      <c r="A219" s="103">
        <v>527136</v>
      </c>
      <c r="B219" s="103" t="s">
        <v>1095</v>
      </c>
      <c r="C219" s="103">
        <v>1118541825</v>
      </c>
      <c r="D219" s="103" t="s">
        <v>1096</v>
      </c>
      <c r="E219" s="103" t="s">
        <v>727</v>
      </c>
      <c r="F219" s="103" t="s">
        <v>656</v>
      </c>
      <c r="G219" s="103">
        <v>6082810059</v>
      </c>
      <c r="H219" s="103" t="s">
        <v>674</v>
      </c>
      <c r="I219" s="103" t="s">
        <v>406</v>
      </c>
      <c r="J219" s="103" t="s">
        <v>852</v>
      </c>
      <c r="K219" s="103" t="s">
        <v>294</v>
      </c>
      <c r="L219" s="104">
        <v>41381</v>
      </c>
      <c r="M219" s="104">
        <v>32775</v>
      </c>
    </row>
    <row r="220" spans="1:13">
      <c r="A220" s="103">
        <v>543946</v>
      </c>
      <c r="B220" s="103" t="s">
        <v>1097</v>
      </c>
      <c r="C220" s="103">
        <v>1118533793</v>
      </c>
      <c r="D220" s="103" t="s">
        <v>1098</v>
      </c>
      <c r="E220" s="103" t="s">
        <v>727</v>
      </c>
      <c r="F220" s="103" t="s">
        <v>656</v>
      </c>
      <c r="G220" s="103">
        <v>6082810059</v>
      </c>
      <c r="H220" s="103" t="s">
        <v>674</v>
      </c>
      <c r="I220" s="103" t="s">
        <v>406</v>
      </c>
      <c r="J220" s="103" t="s">
        <v>852</v>
      </c>
      <c r="K220" s="103" t="s">
        <v>303</v>
      </c>
      <c r="L220" s="104">
        <v>41381</v>
      </c>
      <c r="M220" s="104">
        <v>31665</v>
      </c>
    </row>
  </sheetData>
  <conditionalFormatting sqref="A1:A1048576">
    <cfRule type="duplicateValues" dxfId="19" priority="2"/>
    <cfRule type="duplicateValues" dxfId="18" priority="3"/>
  </conditionalFormatting>
  <conditionalFormatting sqref="A1">
    <cfRule type="duplicateValues" dxfId="17" priority="4"/>
    <cfRule type="duplicateValues" dxfId="16" priority="5"/>
  </conditionalFormatting>
  <conditionalFormatting sqref="A1">
    <cfRule type="duplicateValues" dxfId="15" priority="6"/>
  </conditionalFormatting>
  <conditionalFormatting sqref="D1">
    <cfRule type="duplicateValues" dxfId="14" priority="7"/>
  </conditionalFormatting>
  <conditionalFormatting sqref="A1:A1048576">
    <cfRule type="duplicateValues" dxfId="13" priority="8"/>
  </conditionalFormatting>
  <conditionalFormatting sqref="D1:D1048576">
    <cfRule type="duplicateValues" dxfId="12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V86"/>
  <sheetViews>
    <sheetView showGridLines="0" tabSelected="1" zoomScale="70" zoomScaleNormal="70" zoomScaleSheetLayoutView="70" zoomScalePageLayoutView="90" workbookViewId="0">
      <selection activeCell="A9" sqref="A9:A10"/>
    </sheetView>
  </sheetViews>
  <sheetFormatPr defaultColWidth="11.42578125" defaultRowHeight="12.75"/>
  <cols>
    <col min="1" max="1" width="15.85546875" style="45" customWidth="1"/>
    <col min="2" max="3" width="27.7109375" style="45" customWidth="1"/>
    <col min="4" max="4" width="27.7109375" style="46" customWidth="1"/>
    <col min="5" max="5" width="21.140625" style="46" customWidth="1"/>
    <col min="6" max="7" width="14" style="45" customWidth="1"/>
    <col min="8" max="8" width="13.140625" style="45" customWidth="1"/>
    <col min="9" max="9" width="24.28515625" style="45" customWidth="1"/>
    <col min="10" max="10" width="27.7109375" style="45" customWidth="1"/>
    <col min="11" max="11" width="18.28515625" style="45" customWidth="1"/>
    <col min="12" max="12" width="22.5703125" style="45" customWidth="1"/>
    <col min="13" max="13" width="22.140625" style="45" customWidth="1"/>
    <col min="14" max="14" width="14.140625" style="45" customWidth="1"/>
    <col min="15" max="16384" width="11.42578125" style="45"/>
  </cols>
  <sheetData>
    <row r="1" spans="1:22" ht="25.5" customHeight="1">
      <c r="A1" s="171" t="str">
        <f>+CONCATENATE(M2," - ",M3)</f>
        <v xml:space="preserve"> - 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</row>
    <row r="2" spans="1:22" ht="15" customHeight="1">
      <c r="A2" s="47"/>
      <c r="B2" s="48"/>
      <c r="C2" s="180" t="str">
        <f>"REPORTE DE NOVEDADES DE BONOS "&amp;L7</f>
        <v xml:space="preserve">REPORTE DE NOVEDADES DE BONOS </v>
      </c>
      <c r="D2" s="180"/>
      <c r="E2" s="180"/>
      <c r="F2" s="180"/>
      <c r="G2" s="180"/>
      <c r="H2" s="180"/>
      <c r="I2" s="180"/>
      <c r="J2" s="180"/>
      <c r="K2" s="180"/>
      <c r="L2" s="94"/>
      <c r="M2" s="123" t="str">
        <f>IFERROR(+VLOOKUP(K5,'Ultimo HC'!A:D,4,0),"")</f>
        <v/>
      </c>
    </row>
    <row r="3" spans="1:22" ht="15" customHeight="1">
      <c r="A3" s="49"/>
      <c r="B3" s="50"/>
      <c r="C3" s="181" t="s">
        <v>171</v>
      </c>
      <c r="D3" s="181"/>
      <c r="E3" s="181"/>
      <c r="F3" s="181"/>
      <c r="G3" s="181"/>
      <c r="H3" s="181"/>
      <c r="I3" s="181"/>
      <c r="J3" s="181"/>
      <c r="K3" s="181"/>
      <c r="L3" s="71" t="s">
        <v>169</v>
      </c>
      <c r="M3" s="123" t="str">
        <f>IFERROR(+VLOOKUP(K5,'Ultimo HC'!A:I,9,0),"")</f>
        <v/>
      </c>
    </row>
    <row r="4" spans="1:22" s="52" customFormat="1" ht="20.25" customHeight="1" thickBot="1">
      <c r="B4" s="64"/>
      <c r="E4" s="53"/>
      <c r="I4" s="91"/>
      <c r="K4" s="83"/>
      <c r="M4" s="93">
        <v>532021</v>
      </c>
    </row>
    <row r="5" spans="1:22" s="52" customFormat="1" ht="13.5" thickBot="1">
      <c r="B5" s="56" t="s">
        <v>95</v>
      </c>
      <c r="C5" s="68" t="s">
        <v>621</v>
      </c>
      <c r="D5" s="53"/>
      <c r="E5" s="53"/>
      <c r="F5" s="56" t="s">
        <v>96</v>
      </c>
      <c r="G5" s="68"/>
      <c r="H5" s="11"/>
      <c r="I5" s="92"/>
      <c r="J5" s="54" t="s">
        <v>150</v>
      </c>
      <c r="K5" s="124"/>
      <c r="M5" s="93"/>
    </row>
    <row r="6" spans="1:22" s="52" customFormat="1" ht="14.25" customHeight="1" thickBot="1">
      <c r="B6" s="57"/>
      <c r="D6" s="53"/>
      <c r="E6" s="53"/>
      <c r="H6" s="11"/>
      <c r="I6" s="188" t="str">
        <f>IF(ISNA(VLOOKUP($K$5,'SAPlist '!$A$3:$F$2153,4,0)),"N/A",VLOOKUP($K$5,'SAPlist '!$A$3:$F$2153,4,0))</f>
        <v>N/A</v>
      </c>
      <c r="K6" s="58"/>
      <c r="L6" s="67"/>
    </row>
    <row r="7" spans="1:22" s="52" customFormat="1" ht="18" customHeight="1" thickBot="1">
      <c r="B7" s="56" t="s">
        <v>97</v>
      </c>
      <c r="C7" s="190" t="str">
        <f>IF(ISNA(VLOOKUP($K$5,'SAPlist '!$A$3:$F$2153,6,0)),"N/A",VLOOKUP($K$5,'SAPlist '!$A$3:$F$2153,6,0))</f>
        <v>N/A</v>
      </c>
      <c r="D7" s="190"/>
      <c r="E7" s="55"/>
      <c r="F7" s="55"/>
      <c r="H7" s="58" t="s">
        <v>98</v>
      </c>
      <c r="I7" s="189"/>
      <c r="J7" s="66" t="str">
        <f>CONCATENATE(LEFT(I6,4),".")</f>
        <v>N/A.</v>
      </c>
      <c r="K7" s="58" t="s">
        <v>99</v>
      </c>
      <c r="L7" s="68"/>
    </row>
    <row r="8" spans="1:22" s="52" customFormat="1" ht="30" customHeight="1">
      <c r="D8" s="53"/>
      <c r="E8" s="53"/>
    </row>
    <row r="9" spans="1:22" ht="24" customHeight="1">
      <c r="A9" s="183" t="s">
        <v>100</v>
      </c>
      <c r="B9" s="172" t="s">
        <v>101</v>
      </c>
      <c r="C9" s="170" t="s">
        <v>102</v>
      </c>
      <c r="D9" s="170" t="s">
        <v>30</v>
      </c>
      <c r="E9" s="176" t="s">
        <v>146</v>
      </c>
      <c r="F9" s="178" t="s">
        <v>4</v>
      </c>
      <c r="G9" s="175"/>
      <c r="H9" s="175" t="s">
        <v>203</v>
      </c>
      <c r="I9" s="170" t="s">
        <v>103</v>
      </c>
      <c r="J9" s="170" t="s">
        <v>173</v>
      </c>
      <c r="K9" s="177" t="s">
        <v>639</v>
      </c>
      <c r="L9" s="173" t="s">
        <v>640</v>
      </c>
      <c r="M9" s="169" t="s">
        <v>472</v>
      </c>
    </row>
    <row r="10" spans="1:22" ht="24" customHeight="1">
      <c r="A10" s="184"/>
      <c r="B10" s="185"/>
      <c r="C10" s="170"/>
      <c r="D10" s="170"/>
      <c r="E10" s="191"/>
      <c r="F10" s="162" t="s">
        <v>144</v>
      </c>
      <c r="G10" s="105" t="s">
        <v>145</v>
      </c>
      <c r="H10" s="176"/>
      <c r="I10" s="172"/>
      <c r="J10" s="172"/>
      <c r="K10" s="178"/>
      <c r="L10" s="174"/>
      <c r="M10" s="170"/>
    </row>
    <row r="11" spans="1:22" ht="31.5" customHeight="1">
      <c r="A11" s="98">
        <v>1</v>
      </c>
      <c r="B11" s="106"/>
      <c r="C11" s="107"/>
      <c r="D11" s="108"/>
      <c r="E11" s="108"/>
      <c r="F11" s="109"/>
      <c r="G11" s="109"/>
      <c r="H11" s="116" t="str">
        <f>IF(OR(G11="",F11=""),"",(G11-F11)+1)</f>
        <v/>
      </c>
      <c r="I11" s="106"/>
      <c r="J11" s="110"/>
      <c r="K11" s="117">
        <f>IFERROR(ROUND(IF(ISNA(VLOOKUP(I11,'Pagos B&amp;C y PE'!$B$4:$AQ$25,VLOOKUP($J$7,'Pagos B&amp;C y PE'!$AT$4:$AU$44,2,0),0))," ",VLOOKUP(I11,'Pagos B&amp;C y PE'!$B$4:$AQ$25,VLOOKUP($J$7,'Pagos B&amp;C y PE'!$AT$4:$AU$44,2,0),0)),0),0)</f>
        <v>0</v>
      </c>
      <c r="L11" s="118">
        <f>IFERROR(IF(K11=" "," ",ROUND(K11*H11,0)),0)</f>
        <v>0</v>
      </c>
      <c r="M11" s="95"/>
    </row>
    <row r="12" spans="1:22" ht="31.5" customHeight="1">
      <c r="A12" s="98">
        <v>2</v>
      </c>
      <c r="B12" s="106"/>
      <c r="C12" s="107"/>
      <c r="D12" s="108"/>
      <c r="E12" s="108"/>
      <c r="F12" s="109"/>
      <c r="G12" s="109"/>
      <c r="H12" s="116" t="str">
        <f t="shared" ref="H12:H20" si="0">IF(OR(G12="",F12=""),"",(G12-F12)+1)</f>
        <v/>
      </c>
      <c r="I12" s="106"/>
      <c r="J12" s="110"/>
      <c r="K12" s="117">
        <f>IFERROR(ROUND(IF(ISNA(VLOOKUP(I12,'Pagos B&amp;C y PE'!$B$4:$AQ$25,VLOOKUP($J$7,'Pagos B&amp;C y PE'!$AT$4:$AU$44,2,0),0))," ",VLOOKUP(I12,'Pagos B&amp;C y PE'!$B$4:$AQ$25,VLOOKUP($J$7,'Pagos B&amp;C y PE'!$AT$4:$AU$44,2,0),0)),0),0)</f>
        <v>0</v>
      </c>
      <c r="L12" s="118">
        <f t="shared" ref="L12:L29" si="1">IFERROR(IF(K12=" "," ",ROUND(K12*H12,0)),0)</f>
        <v>0</v>
      </c>
      <c r="M12" s="95"/>
    </row>
    <row r="13" spans="1:22" ht="31.5" customHeight="1">
      <c r="A13" s="60">
        <v>3</v>
      </c>
      <c r="B13" s="106"/>
      <c r="C13" s="107"/>
      <c r="D13" s="108"/>
      <c r="E13" s="108"/>
      <c r="F13" s="109"/>
      <c r="G13" s="109"/>
      <c r="H13" s="116" t="str">
        <f t="shared" si="0"/>
        <v/>
      </c>
      <c r="I13" s="106"/>
      <c r="J13" s="110"/>
      <c r="K13" s="117">
        <f>IFERROR(ROUND(IF(ISNA(VLOOKUP(I13,'Pagos B&amp;C y PE'!$B$4:$AQ$25,VLOOKUP($J$7,'Pagos B&amp;C y PE'!$AT$4:$AU$44,2,0),0))," ",VLOOKUP(I13,'Pagos B&amp;C y PE'!$B$4:$AQ$25,VLOOKUP($J$7,'Pagos B&amp;C y PE'!$AT$4:$AU$44,2,0),0)),0),0)</f>
        <v>0</v>
      </c>
      <c r="L13" s="118">
        <f t="shared" si="1"/>
        <v>0</v>
      </c>
      <c r="M13" s="95"/>
      <c r="V13" s="51"/>
    </row>
    <row r="14" spans="1:22" ht="31.5" customHeight="1">
      <c r="A14" s="98">
        <v>4</v>
      </c>
      <c r="B14" s="106"/>
      <c r="C14" s="107"/>
      <c r="D14" s="108"/>
      <c r="E14" s="108"/>
      <c r="F14" s="109"/>
      <c r="G14" s="109"/>
      <c r="H14" s="116" t="str">
        <f t="shared" si="0"/>
        <v/>
      </c>
      <c r="I14" s="106"/>
      <c r="J14" s="110"/>
      <c r="K14" s="117">
        <f>IFERROR(ROUND(IF(ISNA(VLOOKUP(I14,'Pagos B&amp;C y PE'!$B$4:$AQ$25,VLOOKUP($J$7,'Pagos B&amp;C y PE'!$AT$4:$AU$44,2,0),0))," ",VLOOKUP(I14,'Pagos B&amp;C y PE'!$B$4:$AQ$25,VLOOKUP($J$7,'Pagos B&amp;C y PE'!$AT$4:$AU$44,2,0),0)),0),0)</f>
        <v>0</v>
      </c>
      <c r="L14" s="118">
        <f t="shared" si="1"/>
        <v>0</v>
      </c>
      <c r="M14" s="95"/>
      <c r="S14" s="122"/>
      <c r="V14" s="51"/>
    </row>
    <row r="15" spans="1:22" ht="31.5" customHeight="1">
      <c r="A15" s="60">
        <v>5</v>
      </c>
      <c r="B15" s="106"/>
      <c r="C15" s="107"/>
      <c r="D15" s="108"/>
      <c r="E15" s="108"/>
      <c r="F15" s="109"/>
      <c r="G15" s="109"/>
      <c r="H15" s="116" t="str">
        <f t="shared" si="0"/>
        <v/>
      </c>
      <c r="I15" s="106"/>
      <c r="J15" s="111"/>
      <c r="K15" s="117">
        <f>IFERROR(ROUND(IF(ISNA(VLOOKUP(I15,'Pagos B&amp;C y PE'!$B$4:$AQ$25,VLOOKUP($J$7,'Pagos B&amp;C y PE'!$AT$4:$AU$44,2,0),0))," ",VLOOKUP(I15,'Pagos B&amp;C y PE'!$B$4:$AQ$25,VLOOKUP($J$7,'Pagos B&amp;C y PE'!$AT$4:$AU$44,2,0),0)),0),0)</f>
        <v>0</v>
      </c>
      <c r="L15" s="118">
        <f t="shared" si="1"/>
        <v>0</v>
      </c>
      <c r="M15" s="95"/>
    </row>
    <row r="16" spans="1:22" ht="31.5" customHeight="1">
      <c r="A16" s="98">
        <v>6</v>
      </c>
      <c r="B16" s="106"/>
      <c r="C16" s="107"/>
      <c r="D16" s="108"/>
      <c r="E16" s="108"/>
      <c r="F16" s="109"/>
      <c r="G16" s="109"/>
      <c r="H16" s="116" t="str">
        <f t="shared" si="0"/>
        <v/>
      </c>
      <c r="I16" s="106"/>
      <c r="J16" s="110"/>
      <c r="K16" s="117">
        <f>IFERROR(ROUND(IF(ISNA(VLOOKUP(I16,'Pagos B&amp;C y PE'!$B$4:$AQ$25,VLOOKUP($J$7,'Pagos B&amp;C y PE'!$AT$4:$AU$44,2,0),0))," ",VLOOKUP(I16,'Pagos B&amp;C y PE'!$B$4:$AQ$25,VLOOKUP($J$7,'Pagos B&amp;C y PE'!$AT$4:$AU$44,2,0),0)),0),0)</f>
        <v>0</v>
      </c>
      <c r="L16" s="118">
        <f t="shared" si="1"/>
        <v>0</v>
      </c>
      <c r="M16" s="95"/>
    </row>
    <row r="17" spans="1:13" ht="31.5" customHeight="1">
      <c r="A17" s="60">
        <v>7</v>
      </c>
      <c r="B17" s="106"/>
      <c r="C17" s="107"/>
      <c r="D17" s="108"/>
      <c r="E17" s="108"/>
      <c r="F17" s="109"/>
      <c r="G17" s="109"/>
      <c r="H17" s="116" t="str">
        <f t="shared" si="0"/>
        <v/>
      </c>
      <c r="I17" s="106"/>
      <c r="J17" s="110"/>
      <c r="K17" s="117">
        <f>IFERROR(ROUND(IF(ISNA(VLOOKUP(I17,'Pagos B&amp;C y PE'!$B$4:$AQ$25,VLOOKUP($J$7,'Pagos B&amp;C y PE'!$AT$4:$AU$44,2,0),0))," ",VLOOKUP(I17,'Pagos B&amp;C y PE'!$B$4:$AQ$25,VLOOKUP($J$7,'Pagos B&amp;C y PE'!$AT$4:$AU$44,2,0),0)),0),0)</f>
        <v>0</v>
      </c>
      <c r="L17" s="118">
        <f t="shared" si="1"/>
        <v>0</v>
      </c>
      <c r="M17" s="95"/>
    </row>
    <row r="18" spans="1:13" ht="31.5" customHeight="1">
      <c r="A18" s="98">
        <v>8</v>
      </c>
      <c r="B18" s="106"/>
      <c r="C18" s="107"/>
      <c r="D18" s="108"/>
      <c r="E18" s="108"/>
      <c r="F18" s="109"/>
      <c r="G18" s="109"/>
      <c r="H18" s="116" t="str">
        <f t="shared" si="0"/>
        <v/>
      </c>
      <c r="I18" s="106"/>
      <c r="J18" s="110"/>
      <c r="K18" s="117">
        <f>IFERROR(ROUND(IF(ISNA(VLOOKUP(I18,'Pagos B&amp;C y PE'!$B$4:$AQ$25,VLOOKUP($J$7,'Pagos B&amp;C y PE'!$AT$4:$AU$44,2,0),0))," ",VLOOKUP(I18,'Pagos B&amp;C y PE'!$B$4:$AQ$25,VLOOKUP($J$7,'Pagos B&amp;C y PE'!$AT$4:$AU$44,2,0),0)),0),0)</f>
        <v>0</v>
      </c>
      <c r="L18" s="118">
        <f t="shared" si="1"/>
        <v>0</v>
      </c>
      <c r="M18" s="95"/>
    </row>
    <row r="19" spans="1:13" ht="31.5" customHeight="1">
      <c r="A19" s="60">
        <v>9</v>
      </c>
      <c r="B19" s="106"/>
      <c r="C19" s="107"/>
      <c r="D19" s="108"/>
      <c r="E19" s="108"/>
      <c r="F19" s="109"/>
      <c r="G19" s="109"/>
      <c r="H19" s="116" t="str">
        <f t="shared" si="0"/>
        <v/>
      </c>
      <c r="I19" s="106"/>
      <c r="J19" s="110"/>
      <c r="K19" s="117">
        <f>IFERROR(ROUND(IF(ISNA(VLOOKUP(I19,'Pagos B&amp;C y PE'!$B$4:$AQ$25,VLOOKUP($J$7,'Pagos B&amp;C y PE'!$AT$4:$AU$44,2,0),0))," ",VLOOKUP(I19,'Pagos B&amp;C y PE'!$B$4:$AQ$25,VLOOKUP($J$7,'Pagos B&amp;C y PE'!$AT$4:$AU$44,2,0),0)),0),0)</f>
        <v>0</v>
      </c>
      <c r="L19" s="118">
        <f t="shared" si="1"/>
        <v>0</v>
      </c>
      <c r="M19" s="95"/>
    </row>
    <row r="20" spans="1:13" ht="31.5" customHeight="1" thickBot="1">
      <c r="A20" s="98">
        <v>10</v>
      </c>
      <c r="B20" s="106"/>
      <c r="C20" s="107"/>
      <c r="D20" s="108"/>
      <c r="E20" s="108"/>
      <c r="F20" s="109"/>
      <c r="G20" s="109"/>
      <c r="H20" s="116" t="str">
        <f t="shared" si="0"/>
        <v/>
      </c>
      <c r="I20" s="106"/>
      <c r="J20" s="110"/>
      <c r="K20" s="117">
        <f>IFERROR(ROUND(IF(ISNA(VLOOKUP(I20,'Pagos B&amp;C y PE'!$B$4:$AQ$25,VLOOKUP($J$7,'Pagos B&amp;C y PE'!$AT$4:$AU$44,2,0),0))," ",VLOOKUP(I20,'Pagos B&amp;C y PE'!$B$4:$AQ$25,VLOOKUP($J$7,'Pagos B&amp;C y PE'!$AT$4:$AU$44,2,0),0)),0),0)</f>
        <v>0</v>
      </c>
      <c r="L20" s="118">
        <f t="shared" si="1"/>
        <v>0</v>
      </c>
      <c r="M20" s="95"/>
    </row>
    <row r="21" spans="1:13" ht="31.5" hidden="1" customHeight="1" thickBot="1">
      <c r="A21" s="60">
        <v>11</v>
      </c>
      <c r="B21" s="106"/>
      <c r="C21" s="107"/>
      <c r="D21" s="108"/>
      <c r="E21" s="108"/>
      <c r="F21" s="109"/>
      <c r="G21" s="109"/>
      <c r="H21" s="116"/>
      <c r="I21" s="106"/>
      <c r="J21" s="110"/>
      <c r="K21" s="117">
        <f>IFERROR(ROUND(IF(ISNA(VLOOKUP(I21,'Pagos B&amp;C y PE'!$B$4:$AQ$25,VLOOKUP($J$7,'Pagos B&amp;C y PE'!$AT$4:$AU$44,2,0),0))," ",VLOOKUP(I21,'Pagos B&amp;C y PE'!$B$4:$AQ$25,VLOOKUP($J$7,'Pagos B&amp;C y PE'!$AT$4:$AU$44,2,0),0)),0),0)</f>
        <v>0</v>
      </c>
      <c r="L21" s="118">
        <f t="shared" si="1"/>
        <v>0</v>
      </c>
      <c r="M21" s="95"/>
    </row>
    <row r="22" spans="1:13" ht="31.5" hidden="1" customHeight="1" thickBot="1">
      <c r="A22" s="98">
        <v>12</v>
      </c>
      <c r="B22" s="106"/>
      <c r="C22" s="107"/>
      <c r="D22" s="108"/>
      <c r="E22" s="108"/>
      <c r="F22" s="109"/>
      <c r="G22" s="109"/>
      <c r="H22" s="116"/>
      <c r="I22" s="106"/>
      <c r="J22" s="110"/>
      <c r="K22" s="117">
        <f>IFERROR(ROUND(IF(ISNA(VLOOKUP(I22,'Pagos B&amp;C y PE'!$B$4:$AQ$25,VLOOKUP($J$7,'Pagos B&amp;C y PE'!$AT$4:$AU$44,2,0),0))," ",VLOOKUP(I22,'Pagos B&amp;C y PE'!$B$4:$AQ$25,VLOOKUP($J$7,'Pagos B&amp;C y PE'!$AT$4:$AU$44,2,0),0)),0),0)</f>
        <v>0</v>
      </c>
      <c r="L22" s="118">
        <f t="shared" si="1"/>
        <v>0</v>
      </c>
      <c r="M22" s="95"/>
    </row>
    <row r="23" spans="1:13" ht="31.5" hidden="1" customHeight="1" thickBot="1">
      <c r="A23" s="60">
        <v>13</v>
      </c>
      <c r="B23" s="106"/>
      <c r="C23" s="107"/>
      <c r="D23" s="108"/>
      <c r="E23" s="108"/>
      <c r="F23" s="109"/>
      <c r="G23" s="109"/>
      <c r="H23" s="116"/>
      <c r="I23" s="106"/>
      <c r="J23" s="110"/>
      <c r="K23" s="117">
        <f>IFERROR(ROUND(IF(ISNA(VLOOKUP(I23,'Pagos B&amp;C y PE'!$B$4:$AQ$25,VLOOKUP($J$7,'Pagos B&amp;C y PE'!$AT$4:$AU$44,2,0),0))," ",VLOOKUP(I23,'Pagos B&amp;C y PE'!$B$4:$AQ$25,VLOOKUP($J$7,'Pagos B&amp;C y PE'!$AT$4:$AU$44,2,0),0)),0),0)</f>
        <v>0</v>
      </c>
      <c r="L23" s="118">
        <f t="shared" si="1"/>
        <v>0</v>
      </c>
      <c r="M23" s="95"/>
    </row>
    <row r="24" spans="1:13" ht="31.5" hidden="1" customHeight="1" thickBot="1">
      <c r="A24" s="98">
        <v>14</v>
      </c>
      <c r="B24" s="106"/>
      <c r="C24" s="107"/>
      <c r="D24" s="108"/>
      <c r="E24" s="108"/>
      <c r="F24" s="109"/>
      <c r="G24" s="109"/>
      <c r="H24" s="116"/>
      <c r="I24" s="106"/>
      <c r="J24" s="110"/>
      <c r="K24" s="117">
        <f>IFERROR(ROUND(IF(ISNA(VLOOKUP(I24,'Pagos B&amp;C y PE'!$B$4:$AQ$25,VLOOKUP($J$7,'Pagos B&amp;C y PE'!$AT$4:$AU$44,2,0),0))," ",VLOOKUP(I24,'Pagos B&amp;C y PE'!$B$4:$AQ$25,VLOOKUP($J$7,'Pagos B&amp;C y PE'!$AT$4:$AU$44,2,0),0)),0),0)</f>
        <v>0</v>
      </c>
      <c r="L24" s="118">
        <f t="shared" si="1"/>
        <v>0</v>
      </c>
      <c r="M24" s="95"/>
    </row>
    <row r="25" spans="1:13" ht="31.5" hidden="1" customHeight="1" thickBot="1">
      <c r="A25" s="60">
        <v>15</v>
      </c>
      <c r="B25" s="106"/>
      <c r="C25" s="107"/>
      <c r="D25" s="108"/>
      <c r="E25" s="108"/>
      <c r="F25" s="109"/>
      <c r="G25" s="109"/>
      <c r="H25" s="116"/>
      <c r="I25" s="106"/>
      <c r="J25" s="110"/>
      <c r="K25" s="117">
        <f>IFERROR(ROUND(IF(ISNA(VLOOKUP(I25,'Pagos B&amp;C y PE'!$B$4:$AQ$25,VLOOKUP($J$7,'Pagos B&amp;C y PE'!$AT$4:$AU$44,2,0),0))," ",VLOOKUP(I25,'Pagos B&amp;C y PE'!$B$4:$AQ$25,VLOOKUP($J$7,'Pagos B&amp;C y PE'!$AT$4:$AU$44,2,0),0)),0),0)</f>
        <v>0</v>
      </c>
      <c r="L25" s="118">
        <f t="shared" si="1"/>
        <v>0</v>
      </c>
      <c r="M25" s="95"/>
    </row>
    <row r="26" spans="1:13" ht="31.5" hidden="1" customHeight="1" thickBot="1">
      <c r="A26" s="98">
        <v>16</v>
      </c>
      <c r="B26" s="106"/>
      <c r="C26" s="107"/>
      <c r="D26" s="108"/>
      <c r="E26" s="108"/>
      <c r="F26" s="109"/>
      <c r="G26" s="109"/>
      <c r="H26" s="116"/>
      <c r="I26" s="106"/>
      <c r="J26" s="110"/>
      <c r="K26" s="117">
        <f>IFERROR(ROUND(IF(ISNA(VLOOKUP(I26,'Pagos B&amp;C y PE'!$B$4:$AQ$25,VLOOKUP($J$7,'Pagos B&amp;C y PE'!$AT$4:$AU$44,2,0),0))," ",VLOOKUP(I26,'Pagos B&amp;C y PE'!$B$4:$AQ$25,VLOOKUP($J$7,'Pagos B&amp;C y PE'!$AT$4:$AU$44,2,0),0)),0),0)</f>
        <v>0</v>
      </c>
      <c r="L26" s="118">
        <f t="shared" si="1"/>
        <v>0</v>
      </c>
      <c r="M26" s="95"/>
    </row>
    <row r="27" spans="1:13" ht="31.5" hidden="1" customHeight="1" thickBot="1">
      <c r="A27" s="60">
        <v>17</v>
      </c>
      <c r="B27" s="106"/>
      <c r="C27" s="107"/>
      <c r="D27" s="108"/>
      <c r="E27" s="108"/>
      <c r="F27" s="109"/>
      <c r="G27" s="109"/>
      <c r="H27" s="116"/>
      <c r="I27" s="106"/>
      <c r="J27" s="110"/>
      <c r="K27" s="117">
        <f>IFERROR(ROUND(IF(ISNA(VLOOKUP(I27,'Pagos B&amp;C y PE'!$B$4:$AQ$25,VLOOKUP($J$7,'Pagos B&amp;C y PE'!$AT$4:$AU$44,2,0),0))," ",VLOOKUP(I27,'Pagos B&amp;C y PE'!$B$4:$AQ$25,VLOOKUP($J$7,'Pagos B&amp;C y PE'!$AT$4:$AU$44,2,0),0)),0),0)</f>
        <v>0</v>
      </c>
      <c r="L27" s="118">
        <f t="shared" si="1"/>
        <v>0</v>
      </c>
      <c r="M27" s="95"/>
    </row>
    <row r="28" spans="1:13" ht="31.5" hidden="1" customHeight="1" thickBot="1">
      <c r="A28" s="98">
        <v>18</v>
      </c>
      <c r="B28" s="106"/>
      <c r="C28" s="107"/>
      <c r="D28" s="108"/>
      <c r="E28" s="108"/>
      <c r="F28" s="109"/>
      <c r="G28" s="109"/>
      <c r="H28" s="116"/>
      <c r="I28" s="106"/>
      <c r="J28" s="110"/>
      <c r="K28" s="117">
        <f>IFERROR(ROUND(IF(ISNA(VLOOKUP(I28,'Pagos B&amp;C y PE'!$B$4:$AQ$25,VLOOKUP($J$7,'Pagos B&amp;C y PE'!$AT$4:$AU$44,2,0),0))," ",VLOOKUP(I28,'Pagos B&amp;C y PE'!$B$4:$AQ$25,VLOOKUP($J$7,'Pagos B&amp;C y PE'!$AT$4:$AU$44,2,0),0)),0),0)</f>
        <v>0</v>
      </c>
      <c r="L28" s="118">
        <f t="shared" si="1"/>
        <v>0</v>
      </c>
      <c r="M28" s="95"/>
    </row>
    <row r="29" spans="1:13" ht="31.5" hidden="1" customHeight="1" thickBot="1">
      <c r="A29" s="60">
        <v>19</v>
      </c>
      <c r="B29" s="106"/>
      <c r="C29" s="107"/>
      <c r="D29" s="108"/>
      <c r="E29" s="108"/>
      <c r="F29" s="112"/>
      <c r="G29" s="112"/>
      <c r="H29" s="116"/>
      <c r="I29" s="106"/>
      <c r="J29" s="113"/>
      <c r="K29" s="117">
        <f>IFERROR(ROUND(IF(ISNA(VLOOKUP(I29,'Pagos B&amp;C y PE'!$B$4:$AQ$25,VLOOKUP($J$7,'Pagos B&amp;C y PE'!$AT$4:$AU$44,2,0),0))," ",VLOOKUP(I29,'Pagos B&amp;C y PE'!$B$4:$AQ$25,VLOOKUP($J$7,'Pagos B&amp;C y PE'!$AT$4:$AU$44,2,0),0)),0),0)</f>
        <v>0</v>
      </c>
      <c r="L29" s="118">
        <f t="shared" si="1"/>
        <v>0</v>
      </c>
      <c r="M29" s="95"/>
    </row>
    <row r="30" spans="1:13" ht="31.5" customHeight="1" thickBot="1">
      <c r="B30" s="114"/>
      <c r="C30" s="74"/>
      <c r="D30" s="115"/>
      <c r="E30" s="115"/>
      <c r="F30" s="186" t="s">
        <v>174</v>
      </c>
      <c r="G30" s="187"/>
      <c r="H30" s="119">
        <f>SUM(H11:H29)</f>
        <v>0</v>
      </c>
      <c r="I30" s="120" t="s">
        <v>175</v>
      </c>
      <c r="J30" s="119">
        <f>+H30</f>
        <v>0</v>
      </c>
      <c r="K30" s="121"/>
      <c r="L30" s="118">
        <f>ROUND(SUM(L11:L29),0)</f>
        <v>0</v>
      </c>
      <c r="M30" s="74"/>
    </row>
    <row r="31" spans="1:13" ht="34.5" customHeight="1" thickBot="1">
      <c r="A31" s="182"/>
      <c r="B31" s="182"/>
      <c r="C31" s="182"/>
      <c r="D31" s="182"/>
      <c r="E31" s="182"/>
      <c r="F31" s="182"/>
      <c r="G31" s="182"/>
      <c r="H31" s="182"/>
      <c r="I31" s="182"/>
      <c r="J31" s="182"/>
      <c r="K31" s="182"/>
      <c r="L31" s="182"/>
    </row>
    <row r="32" spans="1:13" s="61" customFormat="1" ht="17.25" customHeight="1" thickBot="1">
      <c r="A32" s="125" t="str">
        <f>LEFT(C5,LEN(C5)-8)</f>
        <v>Junio</v>
      </c>
      <c r="B32" s="62" t="s">
        <v>441</v>
      </c>
      <c r="C32" s="68"/>
      <c r="D32" s="75"/>
      <c r="E32" s="75"/>
      <c r="F32" s="76"/>
      <c r="G32" s="63"/>
      <c r="H32" s="62" t="s">
        <v>442</v>
      </c>
      <c r="I32" s="68"/>
      <c r="J32" s="76"/>
      <c r="K32" s="76"/>
      <c r="L32" s="63"/>
      <c r="M32" s="63"/>
    </row>
    <row r="33" spans="1:13" ht="10.5" customHeight="1" thickBot="1">
      <c r="A33" s="126" t="str">
        <f>LEFT(C5,3)</f>
        <v>Jun</v>
      </c>
      <c r="B33" s="65"/>
      <c r="D33" s="77"/>
      <c r="E33" s="78"/>
      <c r="F33" s="12"/>
      <c r="G33" s="12"/>
      <c r="H33" s="65"/>
      <c r="J33" s="12"/>
      <c r="K33" s="12"/>
      <c r="L33" s="12"/>
      <c r="M33" s="12"/>
    </row>
    <row r="34" spans="1:13" ht="75.75" customHeight="1" thickBot="1">
      <c r="A34" s="127" t="s">
        <v>206</v>
      </c>
      <c r="B34" s="62" t="s">
        <v>443</v>
      </c>
      <c r="C34" s="69"/>
      <c r="D34" s="75"/>
      <c r="E34" s="79"/>
      <c r="F34" s="80"/>
      <c r="G34" s="12"/>
      <c r="H34" s="62" t="s">
        <v>444</v>
      </c>
      <c r="I34" s="69"/>
      <c r="J34" s="80"/>
      <c r="K34" s="80"/>
      <c r="L34" s="12"/>
      <c r="M34" s="12"/>
    </row>
    <row r="35" spans="1:13" ht="14.25" customHeight="1" thickBot="1">
      <c r="B35" s="78"/>
      <c r="C35" s="12"/>
      <c r="D35" s="81"/>
      <c r="E35" s="81"/>
      <c r="F35" s="78"/>
      <c r="G35" s="12"/>
      <c r="H35" s="78"/>
      <c r="I35" s="12"/>
      <c r="J35" s="12"/>
      <c r="K35" s="12"/>
      <c r="L35" s="79"/>
      <c r="M35" s="12"/>
    </row>
    <row r="36" spans="1:13" ht="14.25" customHeight="1" thickBot="1">
      <c r="B36" s="62" t="s">
        <v>104</v>
      </c>
      <c r="C36" s="69"/>
      <c r="D36" s="81"/>
      <c r="E36" s="81"/>
      <c r="F36" s="75"/>
      <c r="G36" s="80"/>
      <c r="H36" s="62" t="s">
        <v>104</v>
      </c>
      <c r="I36" s="69"/>
      <c r="J36" s="82"/>
      <c r="K36" s="80"/>
      <c r="L36" s="78"/>
      <c r="M36" s="12"/>
    </row>
    <row r="37" spans="1:13" ht="14.25" customHeight="1">
      <c r="B37" s="77"/>
      <c r="C37" s="12"/>
      <c r="D37" s="81"/>
      <c r="E37" s="81"/>
      <c r="F37" s="78"/>
      <c r="G37" s="12"/>
      <c r="H37" s="12"/>
      <c r="I37" s="77"/>
      <c r="J37" s="78"/>
      <c r="K37" s="12"/>
      <c r="L37" s="12"/>
      <c r="M37" s="12"/>
    </row>
    <row r="38" spans="1:13" ht="17.25" customHeight="1">
      <c r="B38" s="75"/>
      <c r="C38" s="80"/>
      <c r="D38" s="81"/>
      <c r="E38" s="81"/>
      <c r="F38" s="75"/>
      <c r="G38" s="80"/>
      <c r="H38" s="12"/>
      <c r="I38" s="75"/>
      <c r="J38" s="82"/>
      <c r="K38" s="80"/>
      <c r="L38" s="12"/>
      <c r="M38" s="12"/>
    </row>
    <row r="39" spans="1:13">
      <c r="B39" s="12"/>
      <c r="C39" s="12"/>
      <c r="D39" s="81"/>
      <c r="E39" s="81"/>
      <c r="F39" s="12"/>
      <c r="G39" s="12"/>
      <c r="H39" s="12"/>
      <c r="I39" s="12"/>
      <c r="J39" s="12"/>
      <c r="K39" s="12"/>
      <c r="L39" s="12"/>
      <c r="M39" s="12"/>
    </row>
    <row r="40" spans="1:13">
      <c r="D40" s="81"/>
      <c r="E40" s="81"/>
      <c r="F40" s="12"/>
      <c r="G40" s="12"/>
      <c r="H40" s="12"/>
      <c r="I40" s="12"/>
      <c r="J40" s="12"/>
      <c r="K40" s="12"/>
      <c r="L40" s="12"/>
      <c r="M40" s="12"/>
    </row>
    <row r="42" spans="1:13">
      <c r="B42" s="179"/>
      <c r="C42" s="179"/>
      <c r="D42" s="179"/>
      <c r="E42" s="179"/>
      <c r="F42" s="179"/>
    </row>
    <row r="43" spans="1:13">
      <c r="B43" s="179"/>
      <c r="C43" s="179"/>
      <c r="D43" s="179"/>
      <c r="E43" s="179"/>
      <c r="F43" s="179"/>
    </row>
    <row r="44" spans="1:13">
      <c r="B44" s="179"/>
      <c r="C44" s="179"/>
      <c r="D44" s="179"/>
      <c r="E44" s="179"/>
      <c r="F44" s="179"/>
    </row>
    <row r="45" spans="1:13">
      <c r="B45" s="179"/>
      <c r="C45" s="179"/>
      <c r="D45" s="179"/>
      <c r="E45" s="179"/>
      <c r="F45" s="179"/>
    </row>
    <row r="50" spans="9:9">
      <c r="I50" s="70"/>
    </row>
    <row r="79" spans="2:2">
      <c r="B79" s="12"/>
    </row>
    <row r="80" spans="2:2">
      <c r="B80" s="12"/>
    </row>
    <row r="81" spans="2:2">
      <c r="B81" s="12"/>
    </row>
    <row r="82" spans="2:2">
      <c r="B82" s="12"/>
    </row>
    <row r="83" spans="2:2">
      <c r="B83" s="12"/>
    </row>
    <row r="84" spans="2:2">
      <c r="B84" s="12"/>
    </row>
    <row r="85" spans="2:2">
      <c r="B85" s="12"/>
    </row>
    <row r="86" spans="2:2">
      <c r="B86" s="12"/>
    </row>
  </sheetData>
  <sheetProtection algorithmName="SHA-512" hashValue="yLvdVHT9JG7sRgqkQuEVk11reMFGqPckUgJ+OyFfF1VyAABsQXgtIfRUOK6+NxGmVOw48wxFITJ/8VpxBUz+FQ==" saltValue="l8KvY+MqxJSxftoGh6VR/A==" spinCount="100000" sheet="1" formatCells="0" formatColumns="0" formatRows="0"/>
  <protectedRanges>
    <protectedRange password="D18D" sqref="K5" name="SAP"/>
  </protectedRanges>
  <dataConsolidate/>
  <mergeCells count="23">
    <mergeCell ref="B42:F42"/>
    <mergeCell ref="B43:F43"/>
    <mergeCell ref="B44:F44"/>
    <mergeCell ref="B45:F45"/>
    <mergeCell ref="C2:K2"/>
    <mergeCell ref="C3:K3"/>
    <mergeCell ref="A31:L31"/>
    <mergeCell ref="A9:A10"/>
    <mergeCell ref="B9:B10"/>
    <mergeCell ref="D9:D10"/>
    <mergeCell ref="C9:C10"/>
    <mergeCell ref="F30:G30"/>
    <mergeCell ref="F9:G9"/>
    <mergeCell ref="I6:I7"/>
    <mergeCell ref="C7:D7"/>
    <mergeCell ref="E9:E10"/>
    <mergeCell ref="M9:M10"/>
    <mergeCell ref="A1:L1"/>
    <mergeCell ref="J9:J10"/>
    <mergeCell ref="L9:L10"/>
    <mergeCell ref="H9:H10"/>
    <mergeCell ref="I9:I10"/>
    <mergeCell ref="K9:K10"/>
  </mergeCells>
  <phoneticPr fontId="11" type="noConversion"/>
  <conditionalFormatting sqref="I12:I29 B11:G29">
    <cfRule type="cellIs" dxfId="11" priority="22" operator="equal">
      <formula>""</formula>
    </cfRule>
  </conditionalFormatting>
  <conditionalFormatting sqref="B43">
    <cfRule type="cellIs" dxfId="10" priority="20" operator="notEqual">
      <formula>""</formula>
    </cfRule>
  </conditionalFormatting>
  <conditionalFormatting sqref="C5">
    <cfRule type="cellIs" dxfId="9" priority="19" operator="equal">
      <formula>""</formula>
    </cfRule>
  </conditionalFormatting>
  <conditionalFormatting sqref="G5">
    <cfRule type="cellIs" dxfId="8" priority="17" operator="equal">
      <formula>""</formula>
    </cfRule>
  </conditionalFormatting>
  <conditionalFormatting sqref="L7">
    <cfRule type="cellIs" dxfId="7" priority="15" operator="equal">
      <formula>""</formula>
    </cfRule>
  </conditionalFormatting>
  <conditionalFormatting sqref="B44">
    <cfRule type="cellIs" dxfId="6" priority="10" operator="notEqual">
      <formula>""</formula>
    </cfRule>
  </conditionalFormatting>
  <conditionalFormatting sqref="B45">
    <cfRule type="cellIs" dxfId="5" priority="8" operator="notEqual">
      <formula>""</formula>
    </cfRule>
  </conditionalFormatting>
  <conditionalFormatting sqref="C32">
    <cfRule type="cellIs" dxfId="4" priority="5" operator="equal">
      <formula>""</formula>
    </cfRule>
  </conditionalFormatting>
  <conditionalFormatting sqref="C36">
    <cfRule type="cellIs" dxfId="3" priority="4" operator="equal">
      <formula>""</formula>
    </cfRule>
  </conditionalFormatting>
  <conditionalFormatting sqref="I32">
    <cfRule type="cellIs" dxfId="2" priority="3" operator="equal">
      <formula>""</formula>
    </cfRule>
  </conditionalFormatting>
  <conditionalFormatting sqref="I36">
    <cfRule type="cellIs" dxfId="1" priority="2" operator="equal">
      <formula>""</formula>
    </cfRule>
  </conditionalFormatting>
  <conditionalFormatting sqref="I11">
    <cfRule type="cellIs" dxfId="0" priority="1" operator="equal">
      <formula>""</formula>
    </cfRule>
  </conditionalFormatting>
  <dataValidations disablePrompts="1" count="5">
    <dataValidation type="list" allowBlank="1" showInputMessage="1" showErrorMessage="1" sqref="L7" xr:uid="{00000000-0002-0000-0300-000000000000}">
      <formula1>PSL</formula1>
    </dataValidation>
    <dataValidation type="list" allowBlank="1" showInputMessage="1" showErrorMessage="1" sqref="G5:H5" xr:uid="{00000000-0002-0000-0300-000001000000}">
      <formula1>base</formula1>
    </dataValidation>
    <dataValidation type="list" allowBlank="1" showInputMessage="1" showErrorMessage="1" sqref="C5" xr:uid="{00000000-0002-0000-0300-000002000000}">
      <formula1>date</formula1>
    </dataValidation>
    <dataValidation type="list" allowBlank="1" showInputMessage="1" showErrorMessage="1" sqref="B12:B29" xr:uid="{00000000-0002-0000-0300-000003000000}">
      <formula1>cliente</formula1>
    </dataValidation>
    <dataValidation type="list" allowBlank="1" showInputMessage="1" showErrorMessage="1" sqref="F11:G29" xr:uid="{00000000-0002-0000-0300-000005000000}">
      <formula1>INDIRECT($A$33)</formula1>
    </dataValidation>
  </dataValidations>
  <printOptions horizontalCentered="1" verticalCentered="1"/>
  <pageMargins left="0.4" right="0.17" top="0.21" bottom="0.3" header="0.31" footer="0.5"/>
  <pageSetup paperSize="9" scale="52" orientation="landscape" verticalDpi="360" r:id="rId1"/>
  <headerFooter alignWithMargins="0"/>
  <cellWatches>
    <cellWatch r="I11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49" r:id="rId4" name="Button 57">
              <controlPr defaultSize="0" autoFill="0" autoPict="0" macro="[0]!esconder_hojas">
                <anchor>
                  <from>
                    <xdr:col>66</xdr:col>
                    <xdr:colOff>390525</xdr:colOff>
                    <xdr:row>6</xdr:row>
                    <xdr:rowOff>219075</xdr:rowOff>
                  </from>
                  <to>
                    <xdr:col>68</xdr:col>
                    <xdr:colOff>466725</xdr:colOff>
                    <xdr:row>7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300-000006000000}">
          <x14:formula1>
            <xm:f>'Pagos B&amp;C y PE'!$B$5:$B$8</xm:f>
          </x14:formula1>
          <xm:sqref>I11:I29</xm:sqref>
        </x14:dataValidation>
        <x14:dataValidation type="list" allowBlank="1" showInputMessage="1" showErrorMessage="1" xr:uid="{00000000-0002-0000-0300-000007000000}">
          <x14:formula1>
            <xm:f>Listas!$D$2:$D$98</xm:f>
          </x14:formula1>
          <xm:sqref>B11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F234"/>
  <sheetViews>
    <sheetView workbookViewId="0"/>
  </sheetViews>
  <sheetFormatPr defaultColWidth="9.140625" defaultRowHeight="15"/>
  <cols>
    <col min="1" max="1" width="11.85546875" style="73" customWidth="1"/>
    <col min="2" max="2" width="19.140625" style="72" bestFit="1" customWidth="1"/>
    <col min="3" max="3" width="20.28515625" style="72" bestFit="1" customWidth="1"/>
    <col min="4" max="4" width="39.28515625" style="72" customWidth="1"/>
    <col min="5" max="5" width="32.85546875" style="73" customWidth="1"/>
    <col min="6" max="6" width="37.140625" style="72" bestFit="1" customWidth="1"/>
    <col min="7" max="16384" width="9.140625" style="72"/>
  </cols>
  <sheetData>
    <row r="1" spans="1:6" s="97" customFormat="1"/>
    <row r="2" spans="1:6">
      <c r="A2" s="96" t="s">
        <v>56</v>
      </c>
      <c r="B2" s="96" t="s">
        <v>57</v>
      </c>
      <c r="C2" s="96" t="s">
        <v>58</v>
      </c>
      <c r="D2" s="96" t="s">
        <v>59</v>
      </c>
      <c r="E2" s="96" t="s">
        <v>60</v>
      </c>
      <c r="F2" s="96" t="s">
        <v>61</v>
      </c>
    </row>
    <row r="3" spans="1:6">
      <c r="A3" s="100">
        <v>114286</v>
      </c>
      <c r="B3" s="100" t="s">
        <v>284</v>
      </c>
      <c r="C3" s="100" t="s">
        <v>355</v>
      </c>
      <c r="D3" s="100" t="s">
        <v>288</v>
      </c>
      <c r="E3" s="100" t="s">
        <v>406</v>
      </c>
      <c r="F3" s="99" t="str">
        <f>CONCATENATE(C3," ",B3)</f>
        <v>Luis Rodriguez</v>
      </c>
    </row>
    <row r="4" spans="1:6">
      <c r="A4" s="100">
        <v>114313</v>
      </c>
      <c r="B4" s="100" t="s">
        <v>287</v>
      </c>
      <c r="C4" s="100" t="s">
        <v>358</v>
      </c>
      <c r="D4" s="100" t="s">
        <v>283</v>
      </c>
      <c r="E4" s="100" t="s">
        <v>406</v>
      </c>
      <c r="F4" s="99" t="str">
        <f t="shared" ref="F4:F67" si="0">CONCATENATE(C4," ",B4)</f>
        <v>Jose Varon</v>
      </c>
    </row>
    <row r="5" spans="1:6">
      <c r="A5" s="100">
        <v>114335</v>
      </c>
      <c r="B5" s="100" t="s">
        <v>289</v>
      </c>
      <c r="C5" s="100" t="s">
        <v>358</v>
      </c>
      <c r="D5" s="100" t="s">
        <v>1106</v>
      </c>
      <c r="E5" s="100" t="s">
        <v>406</v>
      </c>
      <c r="F5" s="99" t="str">
        <f t="shared" si="0"/>
        <v>Jose Medina</v>
      </c>
    </row>
    <row r="6" spans="1:6">
      <c r="A6" s="100">
        <v>114379</v>
      </c>
      <c r="B6" s="100" t="s">
        <v>290</v>
      </c>
      <c r="C6" s="100" t="s">
        <v>291</v>
      </c>
      <c r="D6" s="100" t="s">
        <v>277</v>
      </c>
      <c r="E6" s="100" t="s">
        <v>406</v>
      </c>
      <c r="F6" s="99" t="str">
        <f t="shared" si="0"/>
        <v>Yesid Marin</v>
      </c>
    </row>
    <row r="7" spans="1:6">
      <c r="A7" s="100">
        <v>114399</v>
      </c>
      <c r="B7" s="100" t="s">
        <v>416</v>
      </c>
      <c r="C7" s="100" t="s">
        <v>306</v>
      </c>
      <c r="D7" s="100" t="s">
        <v>334</v>
      </c>
      <c r="E7" s="100" t="s">
        <v>278</v>
      </c>
      <c r="F7" s="99" t="str">
        <f t="shared" si="0"/>
        <v>Alexander Nieto</v>
      </c>
    </row>
    <row r="8" spans="1:6">
      <c r="A8" s="100">
        <v>123325</v>
      </c>
      <c r="B8" s="100" t="s">
        <v>295</v>
      </c>
      <c r="C8" s="100" t="s">
        <v>357</v>
      </c>
      <c r="D8" s="100" t="s">
        <v>1107</v>
      </c>
      <c r="E8" s="100" t="s">
        <v>406</v>
      </c>
      <c r="F8" s="99" t="str">
        <f t="shared" si="0"/>
        <v>Carlos Recalde</v>
      </c>
    </row>
    <row r="9" spans="1:6">
      <c r="A9" s="100">
        <v>211037</v>
      </c>
      <c r="B9" s="100" t="s">
        <v>296</v>
      </c>
      <c r="C9" s="100" t="s">
        <v>297</v>
      </c>
      <c r="D9" s="100" t="s">
        <v>281</v>
      </c>
      <c r="E9" s="100" t="s">
        <v>406</v>
      </c>
      <c r="F9" s="99" t="str">
        <f t="shared" si="0"/>
        <v>Efrain Ospina</v>
      </c>
    </row>
    <row r="10" spans="1:6">
      <c r="A10" s="100">
        <v>211104</v>
      </c>
      <c r="B10" s="100" t="s">
        <v>298</v>
      </c>
      <c r="C10" s="100" t="s">
        <v>410</v>
      </c>
      <c r="D10" s="100" t="s">
        <v>281</v>
      </c>
      <c r="E10" s="100" t="s">
        <v>406</v>
      </c>
      <c r="F10" s="99" t="str">
        <f t="shared" si="0"/>
        <v>Enoc Hernandez</v>
      </c>
    </row>
    <row r="11" spans="1:6">
      <c r="A11" s="100">
        <v>243002</v>
      </c>
      <c r="B11" s="100" t="s">
        <v>299</v>
      </c>
      <c r="C11" s="100" t="s">
        <v>300</v>
      </c>
      <c r="D11" s="100" t="s">
        <v>510</v>
      </c>
      <c r="E11" s="100" t="s">
        <v>278</v>
      </c>
      <c r="F11" s="99" t="str">
        <f t="shared" si="0"/>
        <v>Reinaldo Ortiz</v>
      </c>
    </row>
    <row r="12" spans="1:6">
      <c r="A12" s="100">
        <v>276469</v>
      </c>
      <c r="B12" s="100" t="s">
        <v>301</v>
      </c>
      <c r="C12" s="100" t="s">
        <v>302</v>
      </c>
      <c r="D12" s="100" t="s">
        <v>390</v>
      </c>
      <c r="E12" s="100" t="s">
        <v>406</v>
      </c>
      <c r="F12" s="99" t="str">
        <f t="shared" si="0"/>
        <v>Gerber Lugo</v>
      </c>
    </row>
    <row r="13" spans="1:6">
      <c r="A13" s="100">
        <v>345115</v>
      </c>
      <c r="B13" s="100" t="s">
        <v>501</v>
      </c>
      <c r="C13" s="100" t="s">
        <v>495</v>
      </c>
      <c r="D13" s="100" t="s">
        <v>497</v>
      </c>
      <c r="E13" s="100" t="s">
        <v>278</v>
      </c>
      <c r="F13" s="99" t="str">
        <f t="shared" si="0"/>
        <v>Marco Tacha</v>
      </c>
    </row>
    <row r="14" spans="1:6">
      <c r="A14" s="100">
        <v>393023</v>
      </c>
      <c r="B14" s="100" t="s">
        <v>397</v>
      </c>
      <c r="C14" s="100" t="s">
        <v>365</v>
      </c>
      <c r="D14" s="100" t="s">
        <v>288</v>
      </c>
      <c r="E14" s="100" t="s">
        <v>406</v>
      </c>
      <c r="F14" s="99" t="str">
        <f t="shared" si="0"/>
        <v>Francisco Ramirez</v>
      </c>
    </row>
    <row r="15" spans="1:6">
      <c r="A15" s="100">
        <v>410287</v>
      </c>
      <c r="B15" s="100" t="s">
        <v>336</v>
      </c>
      <c r="C15" s="100" t="s">
        <v>354</v>
      </c>
      <c r="D15" s="100" t="s">
        <v>391</v>
      </c>
      <c r="E15" s="100" t="s">
        <v>406</v>
      </c>
      <c r="F15" s="99" t="str">
        <f t="shared" si="0"/>
        <v>Juan Quintero</v>
      </c>
    </row>
    <row r="16" spans="1:6">
      <c r="A16" s="100">
        <v>418770</v>
      </c>
      <c r="B16" s="100" t="s">
        <v>284</v>
      </c>
      <c r="C16" s="100" t="s">
        <v>307</v>
      </c>
      <c r="D16" s="100" t="s">
        <v>490</v>
      </c>
      <c r="E16" s="100" t="s">
        <v>278</v>
      </c>
      <c r="F16" s="99" t="str">
        <f t="shared" si="0"/>
        <v>Darwin Rodriguez</v>
      </c>
    </row>
    <row r="17" spans="1:6">
      <c r="A17" s="100">
        <v>419673</v>
      </c>
      <c r="B17" s="100" t="s">
        <v>155</v>
      </c>
      <c r="C17" s="100" t="s">
        <v>456</v>
      </c>
      <c r="D17" s="100" t="s">
        <v>303</v>
      </c>
      <c r="E17" s="100" t="s">
        <v>406</v>
      </c>
      <c r="F17" s="99" t="str">
        <f t="shared" si="0"/>
        <v>Eddy Guzman</v>
      </c>
    </row>
    <row r="18" spans="1:6">
      <c r="A18" s="100">
        <v>426015</v>
      </c>
      <c r="B18" s="100" t="s">
        <v>309</v>
      </c>
      <c r="C18" s="100" t="s">
        <v>360</v>
      </c>
      <c r="D18" s="100" t="s">
        <v>292</v>
      </c>
      <c r="E18" s="100" t="s">
        <v>278</v>
      </c>
      <c r="F18" s="99" t="str">
        <f t="shared" si="0"/>
        <v>Jhon Calderon</v>
      </c>
    </row>
    <row r="19" spans="1:6">
      <c r="A19" s="100">
        <v>443181</v>
      </c>
      <c r="B19" s="100" t="s">
        <v>473</v>
      </c>
      <c r="C19" s="100" t="s">
        <v>476</v>
      </c>
      <c r="D19" s="100" t="s">
        <v>391</v>
      </c>
      <c r="E19" s="100" t="s">
        <v>406</v>
      </c>
      <c r="F19" s="99" t="str">
        <f t="shared" si="0"/>
        <v>Alexis Serrato</v>
      </c>
    </row>
    <row r="20" spans="1:6">
      <c r="A20" s="100">
        <v>447148</v>
      </c>
      <c r="B20" s="100" t="s">
        <v>402</v>
      </c>
      <c r="C20" s="100" t="s">
        <v>403</v>
      </c>
      <c r="D20" s="100" t="s">
        <v>292</v>
      </c>
      <c r="E20" s="100" t="s">
        <v>278</v>
      </c>
      <c r="F20" s="99" t="str">
        <f t="shared" si="0"/>
        <v>Faiver Barrios</v>
      </c>
    </row>
    <row r="21" spans="1:6">
      <c r="A21" s="100">
        <v>448783</v>
      </c>
      <c r="B21" s="100" t="s">
        <v>498</v>
      </c>
      <c r="C21" s="100" t="s">
        <v>499</v>
      </c>
      <c r="D21" s="100" t="s">
        <v>638</v>
      </c>
      <c r="E21" s="100" t="s">
        <v>406</v>
      </c>
      <c r="F21" s="99" t="str">
        <f t="shared" si="0"/>
        <v>Jinna Palacios</v>
      </c>
    </row>
    <row r="22" spans="1:6">
      <c r="A22" s="100">
        <v>450059</v>
      </c>
      <c r="B22" s="100" t="s">
        <v>156</v>
      </c>
      <c r="C22" s="100" t="s">
        <v>360</v>
      </c>
      <c r="D22" s="100" t="s">
        <v>471</v>
      </c>
      <c r="E22" s="100" t="s">
        <v>406</v>
      </c>
      <c r="F22" s="99" t="str">
        <f t="shared" si="0"/>
        <v>Jhon Suarez</v>
      </c>
    </row>
    <row r="23" spans="1:6">
      <c r="A23" s="100">
        <v>452459</v>
      </c>
      <c r="B23" s="100" t="s">
        <v>597</v>
      </c>
      <c r="C23" s="100" t="s">
        <v>357</v>
      </c>
      <c r="D23" s="100" t="s">
        <v>490</v>
      </c>
      <c r="E23" s="100" t="s">
        <v>278</v>
      </c>
      <c r="F23" s="99" t="str">
        <f t="shared" si="0"/>
        <v>Carlos Robayo</v>
      </c>
    </row>
    <row r="24" spans="1:6">
      <c r="A24" s="100">
        <v>455135</v>
      </c>
      <c r="B24" s="100" t="s">
        <v>312</v>
      </c>
      <c r="C24" s="100" t="s">
        <v>361</v>
      </c>
      <c r="D24" s="100" t="s">
        <v>292</v>
      </c>
      <c r="E24" s="100" t="s">
        <v>278</v>
      </c>
      <c r="F24" s="99" t="str">
        <f t="shared" si="0"/>
        <v>Sergio Cediel</v>
      </c>
    </row>
    <row r="25" spans="1:6">
      <c r="A25" s="100">
        <v>456070</v>
      </c>
      <c r="B25" s="100" t="s">
        <v>279</v>
      </c>
      <c r="C25" s="100" t="s">
        <v>346</v>
      </c>
      <c r="D25" s="100" t="s">
        <v>418</v>
      </c>
      <c r="E25" s="100" t="s">
        <v>406</v>
      </c>
      <c r="F25" s="99" t="str">
        <f t="shared" si="0"/>
        <v>John Gutierrez</v>
      </c>
    </row>
    <row r="26" spans="1:6">
      <c r="A26" s="100">
        <v>457290</v>
      </c>
      <c r="B26" s="100" t="s">
        <v>412</v>
      </c>
      <c r="C26" s="100" t="s">
        <v>462</v>
      </c>
      <c r="D26" s="100" t="s">
        <v>391</v>
      </c>
      <c r="E26" s="100" t="s">
        <v>406</v>
      </c>
      <c r="F26" s="99" t="str">
        <f t="shared" si="0"/>
        <v>Isonanyer Castro</v>
      </c>
    </row>
    <row r="27" spans="1:6">
      <c r="A27" s="100">
        <v>457297</v>
      </c>
      <c r="B27" s="100" t="s">
        <v>313</v>
      </c>
      <c r="C27" s="100" t="s">
        <v>357</v>
      </c>
      <c r="D27" s="100" t="s">
        <v>288</v>
      </c>
      <c r="E27" s="100" t="s">
        <v>406</v>
      </c>
      <c r="F27" s="99" t="str">
        <f t="shared" si="0"/>
        <v>Carlos Urazan</v>
      </c>
    </row>
    <row r="28" spans="1:6">
      <c r="A28" s="100">
        <v>457682</v>
      </c>
      <c r="B28" s="100" t="s">
        <v>419</v>
      </c>
      <c r="C28" s="100" t="s">
        <v>421</v>
      </c>
      <c r="D28" s="100" t="s">
        <v>446</v>
      </c>
      <c r="E28" s="100" t="s">
        <v>406</v>
      </c>
      <c r="F28" s="99" t="str">
        <f t="shared" si="0"/>
        <v>Alex Orozco</v>
      </c>
    </row>
    <row r="29" spans="1:6">
      <c r="A29" s="100">
        <v>460691</v>
      </c>
      <c r="B29" s="100" t="s">
        <v>452</v>
      </c>
      <c r="C29" s="100" t="s">
        <v>356</v>
      </c>
      <c r="D29" s="100" t="s">
        <v>288</v>
      </c>
      <c r="E29" s="100" t="s">
        <v>278</v>
      </c>
      <c r="F29" s="99" t="str">
        <f t="shared" si="0"/>
        <v>Jairo Cubillos</v>
      </c>
    </row>
    <row r="30" spans="1:6">
      <c r="A30" s="100">
        <v>462754</v>
      </c>
      <c r="B30" s="100" t="s">
        <v>314</v>
      </c>
      <c r="C30" s="100" t="s">
        <v>344</v>
      </c>
      <c r="D30" s="100" t="s">
        <v>471</v>
      </c>
      <c r="E30" s="100" t="s">
        <v>278</v>
      </c>
      <c r="F30" s="99" t="str">
        <f t="shared" si="0"/>
        <v>Edwin Meneses</v>
      </c>
    </row>
    <row r="31" spans="1:6">
      <c r="A31" s="100">
        <v>464322</v>
      </c>
      <c r="B31" s="100" t="s">
        <v>315</v>
      </c>
      <c r="C31" s="100" t="s">
        <v>362</v>
      </c>
      <c r="D31" s="100" t="s">
        <v>288</v>
      </c>
      <c r="E31" s="100" t="s">
        <v>406</v>
      </c>
      <c r="F31" s="99" t="str">
        <f t="shared" si="0"/>
        <v>Camilo Ochoa</v>
      </c>
    </row>
    <row r="32" spans="1:6">
      <c r="A32" s="100">
        <v>468206</v>
      </c>
      <c r="B32" s="100" t="s">
        <v>317</v>
      </c>
      <c r="C32" s="100" t="s">
        <v>363</v>
      </c>
      <c r="D32" s="100" t="s">
        <v>490</v>
      </c>
      <c r="E32" s="100" t="s">
        <v>278</v>
      </c>
      <c r="F32" s="99" t="str">
        <f t="shared" si="0"/>
        <v>Alver Molina</v>
      </c>
    </row>
    <row r="33" spans="1:6">
      <c r="A33" s="100">
        <v>468745</v>
      </c>
      <c r="B33" s="100" t="s">
        <v>533</v>
      </c>
      <c r="C33" s="100" t="s">
        <v>548</v>
      </c>
      <c r="D33" s="100" t="s">
        <v>391</v>
      </c>
      <c r="E33" s="100" t="s">
        <v>406</v>
      </c>
      <c r="F33" s="99" t="str">
        <f t="shared" si="0"/>
        <v>Reinel Diaz</v>
      </c>
    </row>
    <row r="34" spans="1:6">
      <c r="A34" s="100">
        <v>476023</v>
      </c>
      <c r="B34" s="100" t="s">
        <v>320</v>
      </c>
      <c r="C34" s="100" t="s">
        <v>365</v>
      </c>
      <c r="D34" s="100" t="s">
        <v>334</v>
      </c>
      <c r="E34" s="100" t="s">
        <v>406</v>
      </c>
      <c r="F34" s="99" t="str">
        <f t="shared" si="0"/>
        <v>Francisco Lamilla</v>
      </c>
    </row>
    <row r="35" spans="1:6">
      <c r="A35" s="100">
        <v>476056</v>
      </c>
      <c r="B35" s="100" t="s">
        <v>366</v>
      </c>
      <c r="C35" s="100" t="s">
        <v>362</v>
      </c>
      <c r="D35" s="100" t="s">
        <v>294</v>
      </c>
      <c r="E35" s="100" t="s">
        <v>406</v>
      </c>
      <c r="F35" s="99" t="str">
        <f t="shared" si="0"/>
        <v>Camilo Montana</v>
      </c>
    </row>
    <row r="36" spans="1:6">
      <c r="A36" s="100">
        <v>476069</v>
      </c>
      <c r="B36" s="100" t="s">
        <v>367</v>
      </c>
      <c r="C36" s="100" t="s">
        <v>368</v>
      </c>
      <c r="D36" s="100" t="s">
        <v>471</v>
      </c>
      <c r="E36" s="100" t="s">
        <v>278</v>
      </c>
      <c r="F36" s="99" t="str">
        <f t="shared" si="0"/>
        <v>Jimmy Castaneda</v>
      </c>
    </row>
    <row r="37" spans="1:6">
      <c r="A37" s="100">
        <v>476169</v>
      </c>
      <c r="B37" s="100" t="s">
        <v>321</v>
      </c>
      <c r="C37" s="100" t="s">
        <v>355</v>
      </c>
      <c r="D37" s="100" t="s">
        <v>303</v>
      </c>
      <c r="E37" s="100" t="s">
        <v>406</v>
      </c>
      <c r="F37" s="99" t="str">
        <f t="shared" si="0"/>
        <v>Luis Sanchez</v>
      </c>
    </row>
    <row r="38" spans="1:6">
      <c r="A38" s="100">
        <v>476229</v>
      </c>
      <c r="B38" s="100" t="s">
        <v>579</v>
      </c>
      <c r="C38" s="100" t="s">
        <v>360</v>
      </c>
      <c r="D38" s="100" t="s">
        <v>391</v>
      </c>
      <c r="E38" s="100" t="s">
        <v>406</v>
      </c>
      <c r="F38" s="99" t="str">
        <f t="shared" si="0"/>
        <v>Jhon Becerra</v>
      </c>
    </row>
    <row r="39" spans="1:6">
      <c r="A39" s="100">
        <v>476254</v>
      </c>
      <c r="B39" s="100" t="s">
        <v>322</v>
      </c>
      <c r="C39" s="100" t="s">
        <v>369</v>
      </c>
      <c r="D39" s="100" t="s">
        <v>390</v>
      </c>
      <c r="E39" s="100" t="s">
        <v>406</v>
      </c>
      <c r="F39" s="99" t="str">
        <f t="shared" si="0"/>
        <v>Jorge Melo</v>
      </c>
    </row>
    <row r="40" spans="1:6">
      <c r="A40" s="100">
        <v>476521</v>
      </c>
      <c r="B40" s="100" t="s">
        <v>323</v>
      </c>
      <c r="C40" s="100" t="s">
        <v>355</v>
      </c>
      <c r="D40" s="100" t="s">
        <v>390</v>
      </c>
      <c r="E40" s="100" t="s">
        <v>406</v>
      </c>
      <c r="F40" s="99" t="str">
        <f t="shared" si="0"/>
        <v>Luis Lancheros</v>
      </c>
    </row>
    <row r="41" spans="1:6">
      <c r="A41" s="100">
        <v>477653</v>
      </c>
      <c r="B41" s="100" t="s">
        <v>455</v>
      </c>
      <c r="C41" s="100" t="s">
        <v>370</v>
      </c>
      <c r="D41" s="100" t="s">
        <v>391</v>
      </c>
      <c r="E41" s="100" t="s">
        <v>406</v>
      </c>
      <c r="F41" s="99" t="str">
        <f t="shared" si="0"/>
        <v>Oscar Palma</v>
      </c>
    </row>
    <row r="42" spans="1:6">
      <c r="A42" s="100">
        <v>477655</v>
      </c>
      <c r="B42" s="100" t="s">
        <v>580</v>
      </c>
      <c r="C42" s="100" t="s">
        <v>583</v>
      </c>
      <c r="D42" s="100" t="s">
        <v>391</v>
      </c>
      <c r="E42" s="100" t="s">
        <v>406</v>
      </c>
      <c r="F42" s="99" t="str">
        <f t="shared" si="0"/>
        <v>Deivis Linares</v>
      </c>
    </row>
    <row r="43" spans="1:6">
      <c r="A43" s="100">
        <v>477656</v>
      </c>
      <c r="B43" s="100" t="s">
        <v>316</v>
      </c>
      <c r="C43" s="100" t="s">
        <v>398</v>
      </c>
      <c r="D43" s="100" t="s">
        <v>308</v>
      </c>
      <c r="E43" s="100" t="s">
        <v>406</v>
      </c>
      <c r="F43" s="99" t="str">
        <f t="shared" si="0"/>
        <v>Jesus Cardozo</v>
      </c>
    </row>
    <row r="44" spans="1:6">
      <c r="A44" s="100">
        <v>477762</v>
      </c>
      <c r="B44" s="100" t="s">
        <v>326</v>
      </c>
      <c r="C44" s="100" t="s">
        <v>344</v>
      </c>
      <c r="D44" s="100" t="s">
        <v>447</v>
      </c>
      <c r="E44" s="100" t="s">
        <v>278</v>
      </c>
      <c r="F44" s="99" t="str">
        <f t="shared" si="0"/>
        <v>Edwin Sepulveda</v>
      </c>
    </row>
    <row r="45" spans="1:6">
      <c r="A45" s="100">
        <v>477831</v>
      </c>
      <c r="B45" s="100" t="s">
        <v>327</v>
      </c>
      <c r="C45" s="100" t="s">
        <v>346</v>
      </c>
      <c r="D45" s="100" t="s">
        <v>507</v>
      </c>
      <c r="E45" s="100" t="s">
        <v>278</v>
      </c>
      <c r="F45" s="99" t="str">
        <f t="shared" si="0"/>
        <v>John Reina</v>
      </c>
    </row>
    <row r="46" spans="1:6">
      <c r="A46" s="100">
        <v>477874</v>
      </c>
      <c r="B46" s="100" t="s">
        <v>289</v>
      </c>
      <c r="C46" s="100" t="s">
        <v>371</v>
      </c>
      <c r="D46" s="100" t="s">
        <v>308</v>
      </c>
      <c r="E46" s="100" t="s">
        <v>406</v>
      </c>
      <c r="F46" s="99" t="str">
        <f t="shared" si="0"/>
        <v>Hahiler Medina</v>
      </c>
    </row>
    <row r="47" spans="1:6">
      <c r="A47" s="100">
        <v>478192</v>
      </c>
      <c r="B47" s="100" t="s">
        <v>328</v>
      </c>
      <c r="C47" s="100" t="s">
        <v>372</v>
      </c>
      <c r="D47" s="100" t="s">
        <v>391</v>
      </c>
      <c r="E47" s="100" t="s">
        <v>406</v>
      </c>
      <c r="F47" s="99" t="str">
        <f t="shared" si="0"/>
        <v>Victor Zambrano</v>
      </c>
    </row>
    <row r="48" spans="1:6">
      <c r="A48" s="100">
        <v>482982</v>
      </c>
      <c r="B48" s="100" t="s">
        <v>329</v>
      </c>
      <c r="C48" s="100" t="s">
        <v>360</v>
      </c>
      <c r="D48" s="100" t="s">
        <v>303</v>
      </c>
      <c r="E48" s="100" t="s">
        <v>406</v>
      </c>
      <c r="F48" s="99" t="str">
        <f t="shared" si="0"/>
        <v>Jhon Trujillo</v>
      </c>
    </row>
    <row r="49" spans="1:6">
      <c r="A49" s="100">
        <v>485556</v>
      </c>
      <c r="B49" s="100" t="s">
        <v>329</v>
      </c>
      <c r="C49" s="100" t="s">
        <v>405</v>
      </c>
      <c r="D49" s="100" t="s">
        <v>303</v>
      </c>
      <c r="E49" s="100" t="s">
        <v>406</v>
      </c>
      <c r="F49" s="99" t="str">
        <f t="shared" si="0"/>
        <v>Fanor Trujillo</v>
      </c>
    </row>
    <row r="50" spans="1:6">
      <c r="A50" s="100">
        <v>488104</v>
      </c>
      <c r="B50" s="100" t="s">
        <v>331</v>
      </c>
      <c r="C50" s="100" t="s">
        <v>374</v>
      </c>
      <c r="D50" s="100" t="s">
        <v>391</v>
      </c>
      <c r="E50" s="100" t="s">
        <v>406</v>
      </c>
      <c r="F50" s="99" t="str">
        <f t="shared" si="0"/>
        <v>Milton Alba</v>
      </c>
    </row>
    <row r="51" spans="1:6">
      <c r="A51" s="100">
        <v>488108</v>
      </c>
      <c r="B51" s="100" t="s">
        <v>298</v>
      </c>
      <c r="C51" s="100" t="s">
        <v>332</v>
      </c>
      <c r="D51" s="100" t="s">
        <v>277</v>
      </c>
      <c r="E51" s="100" t="s">
        <v>406</v>
      </c>
      <c r="F51" s="99" t="str">
        <f t="shared" si="0"/>
        <v>Wilmar Hernandez</v>
      </c>
    </row>
    <row r="52" spans="1:6">
      <c r="A52" s="100">
        <v>488160</v>
      </c>
      <c r="B52" s="100" t="s">
        <v>285</v>
      </c>
      <c r="C52" s="100" t="s">
        <v>375</v>
      </c>
      <c r="D52" s="100" t="s">
        <v>277</v>
      </c>
      <c r="E52" s="100" t="s">
        <v>406</v>
      </c>
      <c r="F52" s="99" t="str">
        <f t="shared" si="0"/>
        <v>Wilson Vargas</v>
      </c>
    </row>
    <row r="53" spans="1:6">
      <c r="A53" s="100">
        <v>490890</v>
      </c>
      <c r="B53" s="100" t="s">
        <v>324</v>
      </c>
      <c r="C53" s="100" t="s">
        <v>454</v>
      </c>
      <c r="D53" s="100" t="s">
        <v>303</v>
      </c>
      <c r="E53" s="100" t="s">
        <v>406</v>
      </c>
      <c r="F53" s="99" t="str">
        <f t="shared" si="0"/>
        <v>Jeferson Mosquera</v>
      </c>
    </row>
    <row r="54" spans="1:6">
      <c r="A54" s="100">
        <v>496999</v>
      </c>
      <c r="B54" s="100" t="s">
        <v>335</v>
      </c>
      <c r="C54" s="100" t="s">
        <v>417</v>
      </c>
      <c r="D54" s="100" t="s">
        <v>292</v>
      </c>
      <c r="E54" s="100" t="s">
        <v>406</v>
      </c>
      <c r="F54" s="99" t="str">
        <f t="shared" si="0"/>
        <v>Edinson Martinez</v>
      </c>
    </row>
    <row r="55" spans="1:6">
      <c r="A55" s="100">
        <v>500642</v>
      </c>
      <c r="B55" s="100" t="s">
        <v>336</v>
      </c>
      <c r="C55" s="100" t="s">
        <v>337</v>
      </c>
      <c r="D55" s="100" t="s">
        <v>447</v>
      </c>
      <c r="E55" s="100" t="s">
        <v>278</v>
      </c>
      <c r="F55" s="99" t="str">
        <f t="shared" si="0"/>
        <v>Andrea Quintero</v>
      </c>
    </row>
    <row r="56" spans="1:6">
      <c r="A56" s="100">
        <v>502598</v>
      </c>
      <c r="B56" s="100" t="s">
        <v>338</v>
      </c>
      <c r="C56" s="100" t="s">
        <v>376</v>
      </c>
      <c r="D56" s="100" t="s">
        <v>303</v>
      </c>
      <c r="E56" s="100" t="s">
        <v>406</v>
      </c>
      <c r="F56" s="99" t="str">
        <f t="shared" si="0"/>
        <v>Ruben Zamora</v>
      </c>
    </row>
    <row r="57" spans="1:6">
      <c r="A57" s="100">
        <v>502604</v>
      </c>
      <c r="B57" s="100" t="s">
        <v>340</v>
      </c>
      <c r="C57" s="100" t="s">
        <v>377</v>
      </c>
      <c r="D57" s="100" t="s">
        <v>303</v>
      </c>
      <c r="E57" s="100" t="s">
        <v>406</v>
      </c>
      <c r="F57" s="99" t="str">
        <f t="shared" si="0"/>
        <v>Jaiver Martha</v>
      </c>
    </row>
    <row r="58" spans="1:6">
      <c r="A58" s="100">
        <v>502607</v>
      </c>
      <c r="B58" s="100" t="s">
        <v>339</v>
      </c>
      <c r="C58" s="100" t="s">
        <v>344</v>
      </c>
      <c r="D58" s="100" t="s">
        <v>303</v>
      </c>
      <c r="E58" s="100" t="s">
        <v>406</v>
      </c>
      <c r="F58" s="99" t="str">
        <f t="shared" si="0"/>
        <v>Edwin Cardenas</v>
      </c>
    </row>
    <row r="59" spans="1:6">
      <c r="A59" s="100">
        <v>508097</v>
      </c>
      <c r="B59" s="100" t="s">
        <v>319</v>
      </c>
      <c r="C59" s="100" t="s">
        <v>458</v>
      </c>
      <c r="D59" s="100" t="s">
        <v>308</v>
      </c>
      <c r="E59" s="100" t="s">
        <v>406</v>
      </c>
      <c r="F59" s="99" t="str">
        <f t="shared" si="0"/>
        <v>Christian Campo</v>
      </c>
    </row>
    <row r="60" spans="1:6">
      <c r="A60" s="100">
        <v>508171</v>
      </c>
      <c r="B60" s="100" t="s">
        <v>153</v>
      </c>
      <c r="C60" s="100" t="s">
        <v>378</v>
      </c>
      <c r="D60" s="100" t="s">
        <v>294</v>
      </c>
      <c r="E60" s="100" t="s">
        <v>406</v>
      </c>
      <c r="F60" s="99" t="str">
        <f t="shared" si="0"/>
        <v>Danny Barrera</v>
      </c>
    </row>
    <row r="61" spans="1:6">
      <c r="A61" s="100">
        <v>517255</v>
      </c>
      <c r="B61" s="100" t="s">
        <v>341</v>
      </c>
      <c r="C61" s="100" t="s">
        <v>370</v>
      </c>
      <c r="D61" s="100" t="s">
        <v>391</v>
      </c>
      <c r="E61" s="100" t="s">
        <v>406</v>
      </c>
      <c r="F61" s="99" t="str">
        <f t="shared" si="0"/>
        <v>Oscar Sandoval</v>
      </c>
    </row>
    <row r="62" spans="1:6">
      <c r="A62" s="100">
        <v>517444</v>
      </c>
      <c r="B62" s="100" t="s">
        <v>425</v>
      </c>
      <c r="C62" s="100" t="s">
        <v>372</v>
      </c>
      <c r="D62" s="100" t="s">
        <v>303</v>
      </c>
      <c r="E62" s="100" t="s">
        <v>406</v>
      </c>
      <c r="F62" s="99" t="str">
        <f t="shared" si="0"/>
        <v>Victor Beltran</v>
      </c>
    </row>
    <row r="63" spans="1:6">
      <c r="A63" s="100">
        <v>517492</v>
      </c>
      <c r="B63" s="100" t="s">
        <v>342</v>
      </c>
      <c r="C63" s="100" t="s">
        <v>354</v>
      </c>
      <c r="D63" s="100" t="s">
        <v>471</v>
      </c>
      <c r="E63" s="100" t="s">
        <v>278</v>
      </c>
      <c r="F63" s="99" t="str">
        <f t="shared" si="0"/>
        <v>Juan Vaca</v>
      </c>
    </row>
    <row r="64" spans="1:6">
      <c r="A64" s="100">
        <v>517500</v>
      </c>
      <c r="B64" s="100" t="s">
        <v>157</v>
      </c>
      <c r="C64" s="100" t="s">
        <v>355</v>
      </c>
      <c r="D64" s="100" t="s">
        <v>303</v>
      </c>
      <c r="E64" s="100" t="s">
        <v>406</v>
      </c>
      <c r="F64" s="99" t="str">
        <f t="shared" si="0"/>
        <v>Luis Villarreal</v>
      </c>
    </row>
    <row r="65" spans="1:6">
      <c r="A65" s="100">
        <v>524569</v>
      </c>
      <c r="B65" s="100" t="s">
        <v>330</v>
      </c>
      <c r="C65" s="100" t="s">
        <v>380</v>
      </c>
      <c r="D65" s="100" t="s">
        <v>288</v>
      </c>
      <c r="E65" s="100" t="s">
        <v>278</v>
      </c>
      <c r="F65" s="99" t="str">
        <f t="shared" si="0"/>
        <v>Wilmer Rojas</v>
      </c>
    </row>
    <row r="66" spans="1:6">
      <c r="A66" s="100">
        <v>524607</v>
      </c>
      <c r="B66" s="100" t="s">
        <v>343</v>
      </c>
      <c r="C66" s="100" t="s">
        <v>357</v>
      </c>
      <c r="D66" s="100" t="s">
        <v>318</v>
      </c>
      <c r="E66" s="100" t="s">
        <v>278</v>
      </c>
      <c r="F66" s="99" t="str">
        <f t="shared" si="0"/>
        <v>Carlos Alarcon</v>
      </c>
    </row>
    <row r="67" spans="1:6">
      <c r="A67" s="100">
        <v>524629</v>
      </c>
      <c r="B67" s="100" t="s">
        <v>329</v>
      </c>
      <c r="C67" s="100" t="s">
        <v>344</v>
      </c>
      <c r="D67" s="100" t="s">
        <v>294</v>
      </c>
      <c r="E67" s="100" t="s">
        <v>406</v>
      </c>
      <c r="F67" s="99" t="str">
        <f t="shared" si="0"/>
        <v>Edwin Trujillo</v>
      </c>
    </row>
    <row r="68" spans="1:6">
      <c r="A68" s="100">
        <v>524725</v>
      </c>
      <c r="B68" s="100" t="s">
        <v>345</v>
      </c>
      <c r="C68" s="100" t="s">
        <v>346</v>
      </c>
      <c r="D68" s="100" t="s">
        <v>277</v>
      </c>
      <c r="E68" s="100" t="s">
        <v>278</v>
      </c>
      <c r="F68" s="99" t="str">
        <f t="shared" ref="F68:F131" si="1">CONCATENATE(C68," ",B68)</f>
        <v>John Nieva</v>
      </c>
    </row>
    <row r="69" spans="1:6">
      <c r="A69" s="100">
        <v>524926</v>
      </c>
      <c r="B69" s="100" t="s">
        <v>309</v>
      </c>
      <c r="C69" s="100" t="s">
        <v>360</v>
      </c>
      <c r="D69" s="100" t="s">
        <v>288</v>
      </c>
      <c r="E69" s="100" t="s">
        <v>278</v>
      </c>
      <c r="F69" s="99" t="str">
        <f t="shared" si="1"/>
        <v>Jhon Calderon</v>
      </c>
    </row>
    <row r="70" spans="1:6">
      <c r="A70" s="100">
        <v>526503</v>
      </c>
      <c r="B70" s="100" t="s">
        <v>445</v>
      </c>
      <c r="C70" s="100" t="s">
        <v>468</v>
      </c>
      <c r="D70" s="100" t="s">
        <v>310</v>
      </c>
      <c r="E70" s="100" t="s">
        <v>406</v>
      </c>
      <c r="F70" s="99" t="str">
        <f t="shared" si="1"/>
        <v>Anderson Caviedes</v>
      </c>
    </row>
    <row r="71" spans="1:6">
      <c r="A71" s="100">
        <v>527136</v>
      </c>
      <c r="B71" s="100" t="s">
        <v>305</v>
      </c>
      <c r="C71" s="100" t="s">
        <v>347</v>
      </c>
      <c r="D71" s="100" t="s">
        <v>294</v>
      </c>
      <c r="E71" s="100" t="s">
        <v>406</v>
      </c>
      <c r="F71" s="99" t="str">
        <f t="shared" si="1"/>
        <v>Yexcid Perdomo</v>
      </c>
    </row>
    <row r="72" spans="1:6">
      <c r="A72" s="100">
        <v>529328</v>
      </c>
      <c r="B72" s="100" t="s">
        <v>348</v>
      </c>
      <c r="C72" s="100" t="s">
        <v>379</v>
      </c>
      <c r="D72" s="100" t="s">
        <v>391</v>
      </c>
      <c r="E72" s="100" t="s">
        <v>406</v>
      </c>
      <c r="F72" s="99" t="str">
        <f t="shared" si="1"/>
        <v>Miguel Ricaurte</v>
      </c>
    </row>
    <row r="73" spans="1:6">
      <c r="A73" s="100">
        <v>529330</v>
      </c>
      <c r="B73" s="100" t="s">
        <v>534</v>
      </c>
      <c r="C73" s="100" t="s">
        <v>549</v>
      </c>
      <c r="D73" s="100" t="s">
        <v>318</v>
      </c>
      <c r="E73" s="100" t="s">
        <v>406</v>
      </c>
      <c r="F73" s="99" t="str">
        <f t="shared" si="1"/>
        <v>Duvan Goyeneche</v>
      </c>
    </row>
    <row r="74" spans="1:6">
      <c r="A74" s="100">
        <v>535490</v>
      </c>
      <c r="B74" s="100" t="s">
        <v>333</v>
      </c>
      <c r="C74" s="100" t="s">
        <v>381</v>
      </c>
      <c r="D74" s="100" t="s">
        <v>288</v>
      </c>
      <c r="E74" s="100" t="s">
        <v>278</v>
      </c>
      <c r="F74" s="99" t="str">
        <f t="shared" si="1"/>
        <v>Felipe Gomez</v>
      </c>
    </row>
    <row r="75" spans="1:6">
      <c r="A75" s="100">
        <v>535491</v>
      </c>
      <c r="B75" s="100" t="s">
        <v>349</v>
      </c>
      <c r="C75" s="100" t="s">
        <v>382</v>
      </c>
      <c r="D75" s="100" t="s">
        <v>277</v>
      </c>
      <c r="E75" s="100" t="s">
        <v>406</v>
      </c>
      <c r="F75" s="99" t="str">
        <f t="shared" si="1"/>
        <v>Freider Casanova</v>
      </c>
    </row>
    <row r="76" spans="1:6">
      <c r="A76" s="100">
        <v>540699</v>
      </c>
      <c r="B76" s="100" t="s">
        <v>366</v>
      </c>
      <c r="C76" s="100" t="s">
        <v>383</v>
      </c>
      <c r="D76" s="100" t="s">
        <v>303</v>
      </c>
      <c r="E76" s="100" t="s">
        <v>406</v>
      </c>
      <c r="F76" s="99" t="str">
        <f t="shared" si="1"/>
        <v>Helberth Montana</v>
      </c>
    </row>
    <row r="77" spans="1:6">
      <c r="A77" s="100">
        <v>543827</v>
      </c>
      <c r="B77" s="100" t="s">
        <v>210</v>
      </c>
      <c r="C77" s="100" t="s">
        <v>357</v>
      </c>
      <c r="D77" s="100" t="s">
        <v>303</v>
      </c>
      <c r="E77" s="100" t="s">
        <v>406</v>
      </c>
      <c r="F77" s="99" t="str">
        <f t="shared" si="1"/>
        <v>Carlos Lizarazo</v>
      </c>
    </row>
    <row r="78" spans="1:6">
      <c r="A78" s="100">
        <v>543899</v>
      </c>
      <c r="B78" s="100" t="s">
        <v>325</v>
      </c>
      <c r="C78" s="100" t="s">
        <v>358</v>
      </c>
      <c r="D78" s="100" t="s">
        <v>294</v>
      </c>
      <c r="E78" s="100" t="s">
        <v>406</v>
      </c>
      <c r="F78" s="99" t="str">
        <f t="shared" si="1"/>
        <v>Jose Osorio</v>
      </c>
    </row>
    <row r="79" spans="1:6">
      <c r="A79" s="100">
        <v>543946</v>
      </c>
      <c r="B79" s="100" t="s">
        <v>350</v>
      </c>
      <c r="C79" s="100" t="s">
        <v>385</v>
      </c>
      <c r="D79" s="100" t="s">
        <v>303</v>
      </c>
      <c r="E79" s="100" t="s">
        <v>406</v>
      </c>
      <c r="F79" s="99" t="str">
        <f t="shared" si="1"/>
        <v>Yubert Monroy</v>
      </c>
    </row>
    <row r="80" spans="1:6">
      <c r="A80" s="100">
        <v>544957</v>
      </c>
      <c r="B80" s="100" t="s">
        <v>336</v>
      </c>
      <c r="C80" s="100" t="s">
        <v>429</v>
      </c>
      <c r="D80" s="100" t="s">
        <v>308</v>
      </c>
      <c r="E80" s="100" t="s">
        <v>406</v>
      </c>
      <c r="F80" s="99" t="str">
        <f t="shared" si="1"/>
        <v>Jeisson Quintero</v>
      </c>
    </row>
    <row r="81" spans="1:6">
      <c r="A81" s="100">
        <v>544958</v>
      </c>
      <c r="B81" s="100" t="s">
        <v>351</v>
      </c>
      <c r="C81" s="100" t="s">
        <v>386</v>
      </c>
      <c r="D81" s="100" t="s">
        <v>294</v>
      </c>
      <c r="E81" s="100" t="s">
        <v>406</v>
      </c>
      <c r="F81" s="99" t="str">
        <f t="shared" si="1"/>
        <v>Ivan Luna</v>
      </c>
    </row>
    <row r="82" spans="1:6">
      <c r="A82" s="100">
        <v>545138</v>
      </c>
      <c r="B82" s="100" t="s">
        <v>459</v>
      </c>
      <c r="C82" s="100" t="s">
        <v>433</v>
      </c>
      <c r="D82" s="100" t="s">
        <v>292</v>
      </c>
      <c r="E82" s="100" t="s">
        <v>278</v>
      </c>
      <c r="F82" s="99" t="str">
        <f t="shared" si="1"/>
        <v>Edgar Pineda</v>
      </c>
    </row>
    <row r="83" spans="1:6">
      <c r="A83" s="100">
        <v>545349</v>
      </c>
      <c r="B83" s="100" t="s">
        <v>352</v>
      </c>
      <c r="C83" s="100" t="s">
        <v>387</v>
      </c>
      <c r="D83" s="100" t="s">
        <v>277</v>
      </c>
      <c r="E83" s="100" t="s">
        <v>278</v>
      </c>
      <c r="F83" s="99" t="str">
        <f t="shared" si="1"/>
        <v>Mario Benitez</v>
      </c>
    </row>
    <row r="84" spans="1:6">
      <c r="A84" s="100">
        <v>546148</v>
      </c>
      <c r="B84" s="100" t="s">
        <v>388</v>
      </c>
      <c r="C84" s="100" t="s">
        <v>360</v>
      </c>
      <c r="D84" s="100" t="s">
        <v>277</v>
      </c>
      <c r="E84" s="100" t="s">
        <v>406</v>
      </c>
      <c r="F84" s="99" t="str">
        <f t="shared" si="1"/>
        <v>Jhon Patino</v>
      </c>
    </row>
    <row r="85" spans="1:6">
      <c r="A85" s="100">
        <v>546312</v>
      </c>
      <c r="B85" s="100" t="s">
        <v>535</v>
      </c>
      <c r="C85" s="100" t="s">
        <v>550</v>
      </c>
      <c r="D85" s="100" t="s">
        <v>318</v>
      </c>
      <c r="E85" s="100" t="s">
        <v>278</v>
      </c>
      <c r="F85" s="99" t="str">
        <f t="shared" si="1"/>
        <v>Manuel Roa</v>
      </c>
    </row>
    <row r="86" spans="1:6">
      <c r="A86" s="100">
        <v>546433</v>
      </c>
      <c r="B86" s="100" t="s">
        <v>305</v>
      </c>
      <c r="C86" s="100" t="s">
        <v>404</v>
      </c>
      <c r="D86" s="100" t="s">
        <v>318</v>
      </c>
      <c r="E86" s="100" t="s">
        <v>278</v>
      </c>
      <c r="F86" s="99" t="str">
        <f t="shared" si="1"/>
        <v>Edgardo Perdomo</v>
      </c>
    </row>
    <row r="87" spans="1:6">
      <c r="A87" s="100">
        <v>584459</v>
      </c>
      <c r="B87" s="100" t="s">
        <v>463</v>
      </c>
      <c r="C87" s="100" t="s">
        <v>359</v>
      </c>
      <c r="D87" s="100" t="s">
        <v>308</v>
      </c>
      <c r="E87" s="100" t="s">
        <v>406</v>
      </c>
      <c r="F87" s="99" t="str">
        <f t="shared" si="1"/>
        <v>Hector Burbano</v>
      </c>
    </row>
    <row r="88" spans="1:6">
      <c r="A88" s="100">
        <v>585926</v>
      </c>
      <c r="B88" s="100" t="s">
        <v>399</v>
      </c>
      <c r="C88" s="100" t="s">
        <v>400</v>
      </c>
      <c r="D88" s="100" t="s">
        <v>615</v>
      </c>
      <c r="E88" s="100" t="s">
        <v>278</v>
      </c>
      <c r="F88" s="99" t="str">
        <f t="shared" si="1"/>
        <v>Julian Velasquez</v>
      </c>
    </row>
    <row r="89" spans="1:6">
      <c r="A89" s="100">
        <v>586766</v>
      </c>
      <c r="B89" s="100" t="s">
        <v>279</v>
      </c>
      <c r="C89" s="100" t="s">
        <v>431</v>
      </c>
      <c r="D89" s="100" t="s">
        <v>292</v>
      </c>
      <c r="E89" s="100" t="s">
        <v>278</v>
      </c>
      <c r="F89" s="99" t="str">
        <f t="shared" si="1"/>
        <v>Hammer Gutierrez</v>
      </c>
    </row>
    <row r="90" spans="1:6">
      <c r="A90" s="100">
        <v>587067</v>
      </c>
      <c r="B90" s="100" t="s">
        <v>289</v>
      </c>
      <c r="C90" s="100" t="s">
        <v>552</v>
      </c>
      <c r="D90" s="100" t="s">
        <v>292</v>
      </c>
      <c r="E90" s="100" t="s">
        <v>278</v>
      </c>
      <c r="F90" s="99" t="str">
        <f t="shared" si="1"/>
        <v>Leonardo Medina</v>
      </c>
    </row>
    <row r="91" spans="1:6">
      <c r="A91" s="100">
        <v>587107</v>
      </c>
      <c r="B91" s="100" t="s">
        <v>432</v>
      </c>
      <c r="C91" s="100" t="s">
        <v>433</v>
      </c>
      <c r="D91" s="100" t="s">
        <v>308</v>
      </c>
      <c r="E91" s="100" t="s">
        <v>406</v>
      </c>
      <c r="F91" s="99" t="str">
        <f t="shared" si="1"/>
        <v>Edgar Venegas</v>
      </c>
    </row>
    <row r="92" spans="1:6">
      <c r="A92" s="100">
        <v>587116</v>
      </c>
      <c r="B92" s="100" t="s">
        <v>474</v>
      </c>
      <c r="C92" s="100" t="s">
        <v>357</v>
      </c>
      <c r="D92" s="100" t="s">
        <v>308</v>
      </c>
      <c r="E92" s="100" t="s">
        <v>406</v>
      </c>
      <c r="F92" s="99" t="str">
        <f t="shared" si="1"/>
        <v>Carlos Berroteran</v>
      </c>
    </row>
    <row r="93" spans="1:6">
      <c r="A93" s="100">
        <v>587777</v>
      </c>
      <c r="B93" s="100" t="s">
        <v>634</v>
      </c>
      <c r="C93" s="100" t="s">
        <v>373</v>
      </c>
      <c r="D93" s="100" t="s">
        <v>294</v>
      </c>
      <c r="E93" s="100" t="s">
        <v>406</v>
      </c>
      <c r="F93" s="99" t="str">
        <f t="shared" si="1"/>
        <v>Nelson Valderrama</v>
      </c>
    </row>
    <row r="94" spans="1:6">
      <c r="A94" s="100">
        <v>587814</v>
      </c>
      <c r="B94" s="100" t="s">
        <v>434</v>
      </c>
      <c r="C94" s="100" t="s">
        <v>435</v>
      </c>
      <c r="D94" s="100" t="s">
        <v>277</v>
      </c>
      <c r="E94" s="100" t="s">
        <v>406</v>
      </c>
      <c r="F94" s="99" t="str">
        <f t="shared" si="1"/>
        <v>Rodrigo Barroso</v>
      </c>
    </row>
    <row r="95" spans="1:6" ht="15" customHeight="1">
      <c r="A95" s="100">
        <v>587896</v>
      </c>
      <c r="B95" s="100" t="s">
        <v>328</v>
      </c>
      <c r="C95" s="100" t="s">
        <v>370</v>
      </c>
      <c r="D95" s="100" t="s">
        <v>308</v>
      </c>
      <c r="E95" s="100" t="s">
        <v>406</v>
      </c>
      <c r="F95" s="99" t="str">
        <f t="shared" si="1"/>
        <v>Oscar Zambrano</v>
      </c>
    </row>
    <row r="96" spans="1:6">
      <c r="A96" s="100">
        <v>587898</v>
      </c>
      <c r="B96" s="100" t="s">
        <v>450</v>
      </c>
      <c r="C96" s="100" t="s">
        <v>357</v>
      </c>
      <c r="D96" s="100" t="s">
        <v>308</v>
      </c>
      <c r="E96" s="100" t="s">
        <v>406</v>
      </c>
      <c r="F96" s="99" t="str">
        <f t="shared" si="1"/>
        <v>Carlos Lozano</v>
      </c>
    </row>
    <row r="97" spans="1:6">
      <c r="A97" s="100">
        <v>588750</v>
      </c>
      <c r="B97" s="100" t="s">
        <v>536</v>
      </c>
      <c r="C97" s="100" t="s">
        <v>440</v>
      </c>
      <c r="D97" s="100" t="s">
        <v>318</v>
      </c>
      <c r="E97" s="100" t="s">
        <v>406</v>
      </c>
      <c r="F97" s="99" t="str">
        <f t="shared" si="1"/>
        <v>Rafael Tovar</v>
      </c>
    </row>
    <row r="98" spans="1:6">
      <c r="A98" s="100">
        <v>588917</v>
      </c>
      <c r="B98" s="100" t="s">
        <v>285</v>
      </c>
      <c r="C98" s="100" t="s">
        <v>436</v>
      </c>
      <c r="D98" s="100" t="s">
        <v>308</v>
      </c>
      <c r="E98" s="100" t="s">
        <v>406</v>
      </c>
      <c r="F98" s="99" t="str">
        <f t="shared" si="1"/>
        <v>Yeison Vargas</v>
      </c>
    </row>
    <row r="99" spans="1:6">
      <c r="A99" s="100">
        <v>591876</v>
      </c>
      <c r="B99" s="100" t="s">
        <v>448</v>
      </c>
      <c r="C99" s="100" t="s">
        <v>449</v>
      </c>
      <c r="D99" s="100" t="s">
        <v>318</v>
      </c>
      <c r="E99" s="100" t="s">
        <v>406</v>
      </c>
      <c r="F99" s="99" t="str">
        <f t="shared" si="1"/>
        <v>Cesar Gamboa</v>
      </c>
    </row>
    <row r="100" spans="1:6">
      <c r="A100" s="100">
        <v>598475</v>
      </c>
      <c r="B100" s="100" t="s">
        <v>482</v>
      </c>
      <c r="C100" s="100" t="s">
        <v>477</v>
      </c>
      <c r="D100" s="100" t="s">
        <v>277</v>
      </c>
      <c r="E100" s="100" t="s">
        <v>406</v>
      </c>
      <c r="F100" s="99" t="str">
        <f t="shared" si="1"/>
        <v>Julio Rivas</v>
      </c>
    </row>
    <row r="101" spans="1:6">
      <c r="A101" s="100">
        <v>598484</v>
      </c>
      <c r="B101" s="100" t="s">
        <v>537</v>
      </c>
      <c r="C101" s="100" t="s">
        <v>380</v>
      </c>
      <c r="D101" s="100" t="s">
        <v>318</v>
      </c>
      <c r="E101" s="100" t="s">
        <v>278</v>
      </c>
      <c r="F101" s="99" t="str">
        <f t="shared" si="1"/>
        <v>Wilmer Salcedo</v>
      </c>
    </row>
    <row r="102" spans="1:6">
      <c r="A102" s="100">
        <v>598531</v>
      </c>
      <c r="B102" s="100" t="s">
        <v>279</v>
      </c>
      <c r="C102" s="100" t="s">
        <v>354</v>
      </c>
      <c r="D102" s="100" t="s">
        <v>292</v>
      </c>
      <c r="E102" s="100" t="s">
        <v>406</v>
      </c>
      <c r="F102" s="99" t="str">
        <f t="shared" si="1"/>
        <v>Juan Gutierrez</v>
      </c>
    </row>
    <row r="103" spans="1:6">
      <c r="A103" s="100">
        <v>603438</v>
      </c>
      <c r="B103" s="100" t="s">
        <v>168</v>
      </c>
      <c r="C103" s="100" t="s">
        <v>440</v>
      </c>
      <c r="D103" s="100" t="s">
        <v>318</v>
      </c>
      <c r="E103" s="100" t="s">
        <v>278</v>
      </c>
      <c r="F103" s="99" t="str">
        <f t="shared" si="1"/>
        <v>Rafael Torres</v>
      </c>
    </row>
    <row r="104" spans="1:6">
      <c r="A104" s="100">
        <v>607399</v>
      </c>
      <c r="B104" s="100" t="s">
        <v>437</v>
      </c>
      <c r="C104" s="100" t="s">
        <v>438</v>
      </c>
      <c r="D104" s="100" t="s">
        <v>318</v>
      </c>
      <c r="E104" s="100" t="s">
        <v>406</v>
      </c>
      <c r="F104" s="99" t="str">
        <f t="shared" si="1"/>
        <v>Fermin Palencia</v>
      </c>
    </row>
    <row r="105" spans="1:6">
      <c r="A105" s="100">
        <v>607707</v>
      </c>
      <c r="B105" s="100" t="s">
        <v>412</v>
      </c>
      <c r="C105" s="100" t="s">
        <v>361</v>
      </c>
      <c r="D105" s="100" t="s">
        <v>318</v>
      </c>
      <c r="E105" s="100" t="s">
        <v>278</v>
      </c>
      <c r="F105" s="99" t="str">
        <f t="shared" si="1"/>
        <v>Sergio Castro</v>
      </c>
    </row>
    <row r="106" spans="1:6">
      <c r="A106" s="100">
        <v>614714</v>
      </c>
      <c r="B106" s="100" t="s">
        <v>453</v>
      </c>
      <c r="C106" s="100" t="s">
        <v>293</v>
      </c>
      <c r="D106" s="100" t="s">
        <v>318</v>
      </c>
      <c r="E106" s="100" t="s">
        <v>406</v>
      </c>
      <c r="F106" s="99" t="str">
        <f t="shared" si="1"/>
        <v>Pedro Carreño</v>
      </c>
    </row>
    <row r="107" spans="1:6">
      <c r="A107" s="100">
        <v>615284</v>
      </c>
      <c r="B107" s="100" t="s">
        <v>1108</v>
      </c>
      <c r="C107" s="100" t="s">
        <v>362</v>
      </c>
      <c r="D107" s="100" t="s">
        <v>392</v>
      </c>
      <c r="E107" s="100" t="s">
        <v>278</v>
      </c>
      <c r="F107" s="99" t="str">
        <f t="shared" si="1"/>
        <v>Camilo Chaparro</v>
      </c>
    </row>
    <row r="108" spans="1:6">
      <c r="A108" s="100">
        <v>616393</v>
      </c>
      <c r="B108" s="100" t="s">
        <v>279</v>
      </c>
      <c r="C108" s="100" t="s">
        <v>354</v>
      </c>
      <c r="D108" s="100" t="s">
        <v>471</v>
      </c>
      <c r="E108" s="100" t="s">
        <v>278</v>
      </c>
      <c r="F108" s="99" t="str">
        <f t="shared" si="1"/>
        <v>Juan Gutierrez</v>
      </c>
    </row>
    <row r="109" spans="1:6">
      <c r="A109" s="100">
        <v>619198</v>
      </c>
      <c r="B109" s="100" t="s">
        <v>538</v>
      </c>
      <c r="C109" s="100" t="s">
        <v>551</v>
      </c>
      <c r="D109" s="100" t="s">
        <v>294</v>
      </c>
      <c r="E109" s="100" t="s">
        <v>406</v>
      </c>
      <c r="F109" s="99" t="str">
        <f t="shared" si="1"/>
        <v>Marlon Tellez</v>
      </c>
    </row>
    <row r="110" spans="1:6">
      <c r="A110" s="100">
        <v>619432</v>
      </c>
      <c r="B110" s="100" t="s">
        <v>413</v>
      </c>
      <c r="C110" s="100" t="s">
        <v>280</v>
      </c>
      <c r="D110" s="100" t="s">
        <v>277</v>
      </c>
      <c r="E110" s="100" t="s">
        <v>406</v>
      </c>
      <c r="F110" s="99" t="str">
        <f t="shared" si="1"/>
        <v>Mauricio Mejia</v>
      </c>
    </row>
    <row r="111" spans="1:6">
      <c r="A111" s="100">
        <v>619767</v>
      </c>
      <c r="B111" s="100" t="s">
        <v>325</v>
      </c>
      <c r="C111" s="100" t="s">
        <v>379</v>
      </c>
      <c r="D111" s="100" t="s">
        <v>308</v>
      </c>
      <c r="E111" s="100" t="s">
        <v>406</v>
      </c>
      <c r="F111" s="99" t="str">
        <f t="shared" si="1"/>
        <v>Miguel Osorio</v>
      </c>
    </row>
    <row r="112" spans="1:6">
      <c r="A112" s="100">
        <v>621704</v>
      </c>
      <c r="B112" s="100" t="s">
        <v>461</v>
      </c>
      <c r="C112" s="100" t="s">
        <v>286</v>
      </c>
      <c r="D112" s="100" t="s">
        <v>318</v>
      </c>
      <c r="E112" s="100" t="s">
        <v>406</v>
      </c>
      <c r="F112" s="99" t="str">
        <f t="shared" si="1"/>
        <v>Jaime Gavilan</v>
      </c>
    </row>
    <row r="113" spans="1:6">
      <c r="A113" s="100">
        <v>621710</v>
      </c>
      <c r="B113" s="100" t="s">
        <v>284</v>
      </c>
      <c r="C113" s="100" t="s">
        <v>379</v>
      </c>
      <c r="D113" s="100" t="s">
        <v>277</v>
      </c>
      <c r="E113" s="100" t="s">
        <v>406</v>
      </c>
      <c r="F113" s="99" t="str">
        <f t="shared" si="1"/>
        <v>Miguel Rodriguez</v>
      </c>
    </row>
    <row r="114" spans="1:6">
      <c r="A114" s="100">
        <v>621724</v>
      </c>
      <c r="B114" s="100" t="s">
        <v>155</v>
      </c>
      <c r="C114" s="100" t="s">
        <v>439</v>
      </c>
      <c r="D114" s="100" t="s">
        <v>318</v>
      </c>
      <c r="E114" s="100" t="s">
        <v>406</v>
      </c>
      <c r="F114" s="99" t="str">
        <f t="shared" si="1"/>
        <v>Diego Guzman</v>
      </c>
    </row>
    <row r="115" spans="1:6">
      <c r="A115" s="100">
        <v>624611</v>
      </c>
      <c r="B115" s="100" t="s">
        <v>411</v>
      </c>
      <c r="C115" s="100" t="s">
        <v>433</v>
      </c>
      <c r="D115" s="100" t="s">
        <v>308</v>
      </c>
      <c r="E115" s="100" t="s">
        <v>406</v>
      </c>
      <c r="F115" s="99" t="str">
        <f t="shared" si="1"/>
        <v>Edgar Cuellar</v>
      </c>
    </row>
    <row r="116" spans="1:6">
      <c r="A116" s="100">
        <v>626003</v>
      </c>
      <c r="B116" s="100" t="s">
        <v>154</v>
      </c>
      <c r="C116" s="100" t="s">
        <v>584</v>
      </c>
      <c r="D116" s="100" t="s">
        <v>481</v>
      </c>
      <c r="E116" s="100" t="s">
        <v>406</v>
      </c>
      <c r="F116" s="99" t="str">
        <f t="shared" si="1"/>
        <v>Kheppler Gonzalez</v>
      </c>
    </row>
    <row r="117" spans="1:6">
      <c r="A117" s="100">
        <v>626269</v>
      </c>
      <c r="B117" s="100" t="s">
        <v>428</v>
      </c>
      <c r="C117" s="100" t="s">
        <v>427</v>
      </c>
      <c r="D117" s="100" t="s">
        <v>426</v>
      </c>
      <c r="E117" s="100" t="s">
        <v>406</v>
      </c>
      <c r="F117" s="99" t="str">
        <f t="shared" si="1"/>
        <v>Jonathan Solorzano</v>
      </c>
    </row>
    <row r="118" spans="1:6">
      <c r="A118" s="100">
        <v>626277</v>
      </c>
      <c r="B118" s="100" t="s">
        <v>430</v>
      </c>
      <c r="C118" s="100" t="s">
        <v>360</v>
      </c>
      <c r="D118" s="100" t="s">
        <v>426</v>
      </c>
      <c r="E118" s="100" t="s">
        <v>406</v>
      </c>
      <c r="F118" s="99" t="str">
        <f t="shared" si="1"/>
        <v>Jhon Canizales</v>
      </c>
    </row>
    <row r="119" spans="1:6">
      <c r="A119" s="100">
        <v>626330</v>
      </c>
      <c r="B119" s="100" t="s">
        <v>279</v>
      </c>
      <c r="C119" s="100" t="s">
        <v>427</v>
      </c>
      <c r="D119" s="100" t="s">
        <v>426</v>
      </c>
      <c r="E119" s="100" t="s">
        <v>406</v>
      </c>
      <c r="F119" s="99" t="str">
        <f t="shared" si="1"/>
        <v>Jonathan Gutierrez</v>
      </c>
    </row>
    <row r="120" spans="1:6">
      <c r="A120" s="100">
        <v>627713</v>
      </c>
      <c r="B120" s="100" t="s">
        <v>333</v>
      </c>
      <c r="C120" s="100" t="s">
        <v>401</v>
      </c>
      <c r="D120" s="100" t="s">
        <v>318</v>
      </c>
      <c r="E120" s="100" t="s">
        <v>278</v>
      </c>
      <c r="F120" s="99" t="str">
        <f t="shared" si="1"/>
        <v>Andres Gomez</v>
      </c>
    </row>
    <row r="121" spans="1:6">
      <c r="A121" s="100">
        <v>627913</v>
      </c>
      <c r="B121" s="100" t="s">
        <v>575</v>
      </c>
      <c r="C121" s="100" t="s">
        <v>355</v>
      </c>
      <c r="D121" s="100" t="s">
        <v>392</v>
      </c>
      <c r="E121" s="100" t="s">
        <v>278</v>
      </c>
      <c r="F121" s="99" t="str">
        <f t="shared" si="1"/>
        <v>Luis Andrade</v>
      </c>
    </row>
    <row r="122" spans="1:6">
      <c r="A122" s="100">
        <v>628363</v>
      </c>
      <c r="B122" s="100" t="s">
        <v>420</v>
      </c>
      <c r="C122" s="100" t="s">
        <v>384</v>
      </c>
      <c r="D122" s="100" t="s">
        <v>392</v>
      </c>
      <c r="E122" s="100" t="s">
        <v>406</v>
      </c>
      <c r="F122" s="99" t="str">
        <f t="shared" si="1"/>
        <v>Rodolfo Narvaez</v>
      </c>
    </row>
    <row r="123" spans="1:6">
      <c r="A123" s="100">
        <v>628368</v>
      </c>
      <c r="B123" s="100" t="s">
        <v>465</v>
      </c>
      <c r="C123" s="100" t="s">
        <v>364</v>
      </c>
      <c r="D123" s="100" t="s">
        <v>426</v>
      </c>
      <c r="E123" s="100" t="s">
        <v>406</v>
      </c>
      <c r="F123" s="99" t="str">
        <f t="shared" si="1"/>
        <v>Cristian Fierro</v>
      </c>
    </row>
    <row r="124" spans="1:6">
      <c r="A124" s="100">
        <v>628390</v>
      </c>
      <c r="B124" s="100" t="s">
        <v>457</v>
      </c>
      <c r="C124" s="100" t="s">
        <v>306</v>
      </c>
      <c r="D124" s="100" t="s">
        <v>318</v>
      </c>
      <c r="E124" s="100" t="s">
        <v>278</v>
      </c>
      <c r="F124" s="99" t="str">
        <f t="shared" si="1"/>
        <v>Alexander Morales</v>
      </c>
    </row>
    <row r="125" spans="1:6">
      <c r="A125" s="100">
        <v>628639</v>
      </c>
      <c r="B125" s="100" t="s">
        <v>539</v>
      </c>
      <c r="C125" s="100" t="s">
        <v>346</v>
      </c>
      <c r="D125" s="100" t="s">
        <v>508</v>
      </c>
      <c r="E125" s="100" t="s">
        <v>278</v>
      </c>
      <c r="F125" s="99" t="str">
        <f t="shared" si="1"/>
        <v>John Castillo</v>
      </c>
    </row>
    <row r="126" spans="1:6">
      <c r="A126" s="100">
        <v>629078</v>
      </c>
      <c r="B126" s="100" t="s">
        <v>311</v>
      </c>
      <c r="C126" s="100" t="s">
        <v>460</v>
      </c>
      <c r="D126" s="100" t="s">
        <v>481</v>
      </c>
      <c r="E126" s="100" t="s">
        <v>406</v>
      </c>
      <c r="F126" s="99" t="str">
        <f t="shared" si="1"/>
        <v>Jeens Garcia</v>
      </c>
    </row>
    <row r="127" spans="1:6">
      <c r="A127" s="100">
        <v>629160</v>
      </c>
      <c r="B127" s="100" t="s">
        <v>289</v>
      </c>
      <c r="C127" s="100" t="s">
        <v>424</v>
      </c>
      <c r="D127" s="100" t="s">
        <v>390</v>
      </c>
      <c r="E127" s="100" t="s">
        <v>406</v>
      </c>
      <c r="F127" s="99" t="str">
        <f t="shared" si="1"/>
        <v>William Medina</v>
      </c>
    </row>
    <row r="128" spans="1:6">
      <c r="A128" s="100">
        <v>632238</v>
      </c>
      <c r="B128" s="100" t="s">
        <v>1109</v>
      </c>
      <c r="C128" s="100" t="s">
        <v>358</v>
      </c>
      <c r="D128" s="100" t="s">
        <v>392</v>
      </c>
      <c r="E128" s="100" t="s">
        <v>278</v>
      </c>
      <c r="F128" s="99" t="str">
        <f t="shared" si="1"/>
        <v>Jose Escobar</v>
      </c>
    </row>
    <row r="129" spans="1:6">
      <c r="A129" s="100">
        <v>632241</v>
      </c>
      <c r="B129" s="100" t="s">
        <v>466</v>
      </c>
      <c r="C129" s="100" t="s">
        <v>344</v>
      </c>
      <c r="D129" s="100" t="s">
        <v>318</v>
      </c>
      <c r="E129" s="100" t="s">
        <v>278</v>
      </c>
      <c r="F129" s="99" t="str">
        <f t="shared" si="1"/>
        <v>Edwin Acosta</v>
      </c>
    </row>
    <row r="130" spans="1:6">
      <c r="A130" s="100">
        <v>632331</v>
      </c>
      <c r="B130" s="100" t="s">
        <v>467</v>
      </c>
      <c r="C130" s="100" t="s">
        <v>469</v>
      </c>
      <c r="D130" s="100" t="s">
        <v>392</v>
      </c>
      <c r="E130" s="100" t="s">
        <v>406</v>
      </c>
      <c r="F130" s="99" t="str">
        <f t="shared" si="1"/>
        <v>Rober Tujillo</v>
      </c>
    </row>
    <row r="131" spans="1:6">
      <c r="A131" s="100">
        <v>632498</v>
      </c>
      <c r="B131" s="100" t="s">
        <v>540</v>
      </c>
      <c r="C131" s="100" t="s">
        <v>552</v>
      </c>
      <c r="D131" s="100" t="s">
        <v>426</v>
      </c>
      <c r="E131" s="100" t="s">
        <v>406</v>
      </c>
      <c r="F131" s="99" t="str">
        <f t="shared" si="1"/>
        <v>Leonardo Soto</v>
      </c>
    </row>
    <row r="132" spans="1:6">
      <c r="A132" s="100">
        <v>632499</v>
      </c>
      <c r="B132" s="100" t="s">
        <v>154</v>
      </c>
      <c r="C132" s="100" t="s">
        <v>361</v>
      </c>
      <c r="D132" s="100" t="s">
        <v>391</v>
      </c>
      <c r="E132" s="100" t="s">
        <v>406</v>
      </c>
      <c r="F132" s="99" t="str">
        <f t="shared" ref="F132:F195" si="2">CONCATENATE(C132," ",B132)</f>
        <v>Sergio Gonzalez</v>
      </c>
    </row>
    <row r="133" spans="1:6">
      <c r="A133" s="100">
        <v>632554</v>
      </c>
      <c r="B133" s="100" t="s">
        <v>451</v>
      </c>
      <c r="C133" s="100" t="s">
        <v>361</v>
      </c>
      <c r="D133" s="100" t="s">
        <v>426</v>
      </c>
      <c r="E133" s="100" t="s">
        <v>406</v>
      </c>
      <c r="F133" s="99" t="str">
        <f t="shared" si="2"/>
        <v>Sergio Herrera</v>
      </c>
    </row>
    <row r="134" spans="1:6">
      <c r="A134" s="100">
        <v>633208</v>
      </c>
      <c r="B134" s="100" t="s">
        <v>475</v>
      </c>
      <c r="C134" s="100" t="s">
        <v>421</v>
      </c>
      <c r="D134" s="100" t="s">
        <v>392</v>
      </c>
      <c r="E134" s="100" t="s">
        <v>406</v>
      </c>
      <c r="F134" s="99" t="str">
        <f t="shared" si="2"/>
        <v>Alex Coral</v>
      </c>
    </row>
    <row r="135" spans="1:6">
      <c r="A135" s="100">
        <v>633209</v>
      </c>
      <c r="B135" s="100" t="s">
        <v>314</v>
      </c>
      <c r="C135" s="100" t="s">
        <v>373</v>
      </c>
      <c r="D135" s="100" t="s">
        <v>392</v>
      </c>
      <c r="E135" s="100" t="s">
        <v>406</v>
      </c>
      <c r="F135" s="99" t="str">
        <f t="shared" si="2"/>
        <v>Nelson Meneses</v>
      </c>
    </row>
    <row r="136" spans="1:6">
      <c r="A136" s="100">
        <v>633210</v>
      </c>
      <c r="B136" s="100" t="s">
        <v>455</v>
      </c>
      <c r="C136" s="100" t="s">
        <v>372</v>
      </c>
      <c r="D136" s="100" t="s">
        <v>392</v>
      </c>
      <c r="E136" s="100" t="s">
        <v>406</v>
      </c>
      <c r="F136" s="99" t="str">
        <f t="shared" si="2"/>
        <v>Victor Palma</v>
      </c>
    </row>
    <row r="137" spans="1:6">
      <c r="A137" s="100">
        <v>634032</v>
      </c>
      <c r="B137" s="100" t="s">
        <v>541</v>
      </c>
      <c r="C137" s="100" t="s">
        <v>439</v>
      </c>
      <c r="D137" s="100" t="s">
        <v>294</v>
      </c>
      <c r="E137" s="100" t="s">
        <v>406</v>
      </c>
      <c r="F137" s="99" t="str">
        <f t="shared" si="2"/>
        <v>Diego Vasquez</v>
      </c>
    </row>
    <row r="138" spans="1:6">
      <c r="A138" s="100">
        <v>634933</v>
      </c>
      <c r="B138" s="100" t="s">
        <v>478</v>
      </c>
      <c r="C138" s="100" t="s">
        <v>520</v>
      </c>
      <c r="D138" s="100" t="s">
        <v>392</v>
      </c>
      <c r="E138" s="100" t="s">
        <v>406</v>
      </c>
      <c r="F138" s="99" t="str">
        <f t="shared" si="2"/>
        <v>Yair Cabrera</v>
      </c>
    </row>
    <row r="139" spans="1:6">
      <c r="A139" s="100">
        <v>634944</v>
      </c>
      <c r="B139" s="100" t="s">
        <v>512</v>
      </c>
      <c r="C139" s="100" t="s">
        <v>354</v>
      </c>
      <c r="D139" s="100" t="s">
        <v>392</v>
      </c>
      <c r="E139" s="100" t="s">
        <v>406</v>
      </c>
      <c r="F139" s="99" t="str">
        <f t="shared" si="2"/>
        <v>Juan Orrego</v>
      </c>
    </row>
    <row r="140" spans="1:6">
      <c r="A140" s="100">
        <v>637461</v>
      </c>
      <c r="B140" s="100" t="s">
        <v>542</v>
      </c>
      <c r="C140" s="100" t="s">
        <v>553</v>
      </c>
      <c r="D140" s="100" t="s">
        <v>426</v>
      </c>
      <c r="E140" s="100" t="s">
        <v>406</v>
      </c>
      <c r="F140" s="99" t="str">
        <f t="shared" si="2"/>
        <v>Fredy Cadena</v>
      </c>
    </row>
    <row r="141" spans="1:6">
      <c r="A141" s="100">
        <v>637610</v>
      </c>
      <c r="B141" s="100" t="s">
        <v>480</v>
      </c>
      <c r="C141" s="100" t="s">
        <v>558</v>
      </c>
      <c r="D141" s="100" t="s">
        <v>392</v>
      </c>
      <c r="E141" s="100" t="s">
        <v>406</v>
      </c>
      <c r="F141" s="99" t="str">
        <f t="shared" si="2"/>
        <v>Herman Lopez</v>
      </c>
    </row>
    <row r="142" spans="1:6">
      <c r="A142" s="100">
        <v>637734</v>
      </c>
      <c r="B142" s="100" t="s">
        <v>321</v>
      </c>
      <c r="C142" s="100" t="s">
        <v>439</v>
      </c>
      <c r="D142" s="100" t="s">
        <v>426</v>
      </c>
      <c r="E142" s="100" t="s">
        <v>406</v>
      </c>
      <c r="F142" s="99" t="str">
        <f t="shared" si="2"/>
        <v>Diego Sanchez</v>
      </c>
    </row>
    <row r="143" spans="1:6">
      <c r="A143" s="100">
        <v>641462</v>
      </c>
      <c r="B143" s="100" t="s">
        <v>543</v>
      </c>
      <c r="C143" s="100" t="s">
        <v>554</v>
      </c>
      <c r="D143" s="100" t="s">
        <v>426</v>
      </c>
      <c r="E143" s="100" t="s">
        <v>406</v>
      </c>
      <c r="F143" s="99" t="str">
        <f t="shared" si="2"/>
        <v>Kevin Cortes</v>
      </c>
    </row>
    <row r="144" spans="1:6">
      <c r="A144" s="100">
        <v>642673</v>
      </c>
      <c r="B144" s="100" t="s">
        <v>153</v>
      </c>
      <c r="C144" s="100" t="s">
        <v>483</v>
      </c>
      <c r="D144" s="100" t="s">
        <v>481</v>
      </c>
      <c r="E144" s="100" t="s">
        <v>406</v>
      </c>
      <c r="F144" s="99" t="str">
        <f t="shared" si="2"/>
        <v>Caterin Barrera</v>
      </c>
    </row>
    <row r="145" spans="1:6">
      <c r="A145" s="100">
        <v>644602</v>
      </c>
      <c r="B145" s="100" t="s">
        <v>544</v>
      </c>
      <c r="C145" s="100" t="s">
        <v>401</v>
      </c>
      <c r="D145" s="100" t="s">
        <v>392</v>
      </c>
      <c r="E145" s="100" t="s">
        <v>278</v>
      </c>
      <c r="F145" s="99" t="str">
        <f t="shared" si="2"/>
        <v>Andres Monje</v>
      </c>
    </row>
    <row r="146" spans="1:6">
      <c r="A146" s="100">
        <v>644650</v>
      </c>
      <c r="B146" s="100" t="s">
        <v>484</v>
      </c>
      <c r="C146" s="100" t="s">
        <v>427</v>
      </c>
      <c r="D146" s="100" t="s">
        <v>392</v>
      </c>
      <c r="E146" s="100" t="s">
        <v>406</v>
      </c>
      <c r="F146" s="99" t="str">
        <f t="shared" si="2"/>
        <v>Jonathan Peña</v>
      </c>
    </row>
    <row r="147" spans="1:6">
      <c r="A147" s="100">
        <v>644723</v>
      </c>
      <c r="B147" s="100" t="s">
        <v>486</v>
      </c>
      <c r="C147" s="100" t="s">
        <v>487</v>
      </c>
      <c r="D147" s="100" t="s">
        <v>392</v>
      </c>
      <c r="E147" s="100" t="s">
        <v>406</v>
      </c>
      <c r="F147" s="99" t="str">
        <f t="shared" si="2"/>
        <v>Elmar Gil</v>
      </c>
    </row>
    <row r="148" spans="1:6">
      <c r="A148" s="100">
        <v>645132</v>
      </c>
      <c r="B148" s="100" t="s">
        <v>488</v>
      </c>
      <c r="C148" s="100" t="s">
        <v>370</v>
      </c>
      <c r="D148" s="100" t="s">
        <v>470</v>
      </c>
      <c r="E148" s="100" t="s">
        <v>406</v>
      </c>
      <c r="F148" s="99" t="str">
        <f t="shared" si="2"/>
        <v>Oscar Trillos</v>
      </c>
    </row>
    <row r="149" spans="1:6">
      <c r="A149" s="100">
        <v>646524</v>
      </c>
      <c r="B149" s="100" t="s">
        <v>282</v>
      </c>
      <c r="C149" s="100" t="s">
        <v>489</v>
      </c>
      <c r="D149" s="100" t="s">
        <v>392</v>
      </c>
      <c r="E149" s="100" t="s">
        <v>406</v>
      </c>
      <c r="F149" s="99" t="str">
        <f t="shared" si="2"/>
        <v>Leandro David</v>
      </c>
    </row>
    <row r="150" spans="1:6">
      <c r="A150" s="100">
        <v>646554</v>
      </c>
      <c r="B150" s="100" t="s">
        <v>485</v>
      </c>
      <c r="C150" s="100" t="s">
        <v>479</v>
      </c>
      <c r="D150" s="100" t="s">
        <v>470</v>
      </c>
      <c r="E150" s="100" t="s">
        <v>406</v>
      </c>
      <c r="F150" s="99" t="str">
        <f t="shared" si="2"/>
        <v>Diana Ramos</v>
      </c>
    </row>
    <row r="151" spans="1:6">
      <c r="A151" s="100">
        <v>646874</v>
      </c>
      <c r="B151" s="100" t="s">
        <v>304</v>
      </c>
      <c r="C151" s="100" t="s">
        <v>439</v>
      </c>
      <c r="D151" s="100" t="s">
        <v>391</v>
      </c>
      <c r="E151" s="100" t="s">
        <v>406</v>
      </c>
      <c r="F151" s="99" t="str">
        <f t="shared" si="2"/>
        <v>Diego Leal</v>
      </c>
    </row>
    <row r="152" spans="1:6">
      <c r="A152" s="100">
        <v>648033</v>
      </c>
      <c r="B152" s="100" t="s">
        <v>412</v>
      </c>
      <c r="C152" s="100" t="s">
        <v>424</v>
      </c>
      <c r="D152" s="100" t="s">
        <v>426</v>
      </c>
      <c r="E152" s="100" t="s">
        <v>406</v>
      </c>
      <c r="F152" s="99" t="str">
        <f t="shared" si="2"/>
        <v>William Castro</v>
      </c>
    </row>
    <row r="153" spans="1:6">
      <c r="A153" s="100">
        <v>648574</v>
      </c>
      <c r="B153" s="100" t="s">
        <v>333</v>
      </c>
      <c r="C153" s="100" t="s">
        <v>354</v>
      </c>
      <c r="D153" s="100" t="s">
        <v>392</v>
      </c>
      <c r="E153" s="100" t="s">
        <v>278</v>
      </c>
      <c r="F153" s="99" t="str">
        <f t="shared" si="2"/>
        <v>Juan Gomez</v>
      </c>
    </row>
    <row r="154" spans="1:6">
      <c r="A154" s="100">
        <v>648575</v>
      </c>
      <c r="B154" s="100" t="s">
        <v>545</v>
      </c>
      <c r="C154" s="100" t="s">
        <v>280</v>
      </c>
      <c r="D154" s="100" t="s">
        <v>392</v>
      </c>
      <c r="E154" s="100" t="s">
        <v>278</v>
      </c>
      <c r="F154" s="99" t="str">
        <f t="shared" si="2"/>
        <v>Mauricio Aldana</v>
      </c>
    </row>
    <row r="155" spans="1:6">
      <c r="A155" s="100">
        <v>648578</v>
      </c>
      <c r="B155" s="100" t="s">
        <v>491</v>
      </c>
      <c r="C155" s="100" t="s">
        <v>357</v>
      </c>
      <c r="D155" s="100" t="s">
        <v>392</v>
      </c>
      <c r="E155" s="100" t="s">
        <v>406</v>
      </c>
      <c r="F155" s="99" t="str">
        <f t="shared" si="2"/>
        <v>Carlos Tique</v>
      </c>
    </row>
    <row r="156" spans="1:6">
      <c r="A156" s="100">
        <v>649542</v>
      </c>
      <c r="B156" s="100" t="s">
        <v>556</v>
      </c>
      <c r="C156" s="100" t="s">
        <v>344</v>
      </c>
      <c r="D156" s="100" t="s">
        <v>426</v>
      </c>
      <c r="E156" s="100" t="s">
        <v>406</v>
      </c>
      <c r="F156" s="99" t="str">
        <f t="shared" si="2"/>
        <v>Edwin Quiroga</v>
      </c>
    </row>
    <row r="157" spans="1:6">
      <c r="A157" s="100">
        <v>649645</v>
      </c>
      <c r="B157" s="100" t="s">
        <v>279</v>
      </c>
      <c r="C157" s="100" t="s">
        <v>591</v>
      </c>
      <c r="D157" s="100" t="s">
        <v>392</v>
      </c>
      <c r="E157" s="100" t="s">
        <v>278</v>
      </c>
      <c r="F157" s="99" t="str">
        <f t="shared" si="2"/>
        <v>Alvaro Gutierrez</v>
      </c>
    </row>
    <row r="158" spans="1:6">
      <c r="A158" s="100">
        <v>649781</v>
      </c>
      <c r="B158" s="100" t="s">
        <v>492</v>
      </c>
      <c r="C158" s="100" t="s">
        <v>496</v>
      </c>
      <c r="D158" s="100" t="s">
        <v>470</v>
      </c>
      <c r="E158" s="100" t="s">
        <v>406</v>
      </c>
      <c r="F158" s="99" t="str">
        <f t="shared" si="2"/>
        <v>Tatiana Romero</v>
      </c>
    </row>
    <row r="159" spans="1:6">
      <c r="A159" s="100">
        <v>649782</v>
      </c>
      <c r="B159" s="100" t="s">
        <v>296</v>
      </c>
      <c r="C159" s="100" t="s">
        <v>496</v>
      </c>
      <c r="D159" s="100" t="s">
        <v>481</v>
      </c>
      <c r="E159" s="100" t="s">
        <v>406</v>
      </c>
      <c r="F159" s="99" t="str">
        <f t="shared" si="2"/>
        <v>Tatiana Ospina</v>
      </c>
    </row>
    <row r="160" spans="1:6">
      <c r="A160" s="100">
        <v>649818</v>
      </c>
      <c r="B160" s="100" t="s">
        <v>321</v>
      </c>
      <c r="C160" s="100" t="s">
        <v>379</v>
      </c>
      <c r="D160" s="100" t="s">
        <v>481</v>
      </c>
      <c r="E160" s="100" t="s">
        <v>406</v>
      </c>
      <c r="F160" s="99" t="str">
        <f t="shared" si="2"/>
        <v>Miguel Sanchez</v>
      </c>
    </row>
    <row r="161" spans="1:6">
      <c r="A161" s="100">
        <v>649835</v>
      </c>
      <c r="B161" s="100" t="s">
        <v>493</v>
      </c>
      <c r="C161" s="100" t="s">
        <v>282</v>
      </c>
      <c r="D161" s="100" t="s">
        <v>604</v>
      </c>
      <c r="E161" s="100" t="s">
        <v>406</v>
      </c>
      <c r="F161" s="99" t="str">
        <f t="shared" si="2"/>
        <v>David Mayorca</v>
      </c>
    </row>
    <row r="162" spans="1:6">
      <c r="A162" s="100">
        <v>651409</v>
      </c>
      <c r="B162" s="100" t="s">
        <v>494</v>
      </c>
      <c r="C162" s="100" t="s">
        <v>458</v>
      </c>
      <c r="D162" s="100" t="s">
        <v>481</v>
      </c>
      <c r="E162" s="100" t="s">
        <v>406</v>
      </c>
      <c r="F162" s="99" t="str">
        <f t="shared" si="2"/>
        <v>Christian Ceballos</v>
      </c>
    </row>
    <row r="163" spans="1:6">
      <c r="A163" s="100">
        <v>653820</v>
      </c>
      <c r="B163" s="100" t="s">
        <v>451</v>
      </c>
      <c r="C163" s="100" t="s">
        <v>630</v>
      </c>
      <c r="D163" s="100" t="s">
        <v>426</v>
      </c>
      <c r="E163" s="100" t="s">
        <v>406</v>
      </c>
      <c r="F163" s="99" t="str">
        <f t="shared" si="2"/>
        <v>Elkin Herrera</v>
      </c>
    </row>
    <row r="164" spans="1:6">
      <c r="A164" s="100">
        <v>654248</v>
      </c>
      <c r="B164" s="100" t="s">
        <v>285</v>
      </c>
      <c r="C164" s="100" t="s">
        <v>464</v>
      </c>
      <c r="D164" s="100" t="s">
        <v>481</v>
      </c>
      <c r="E164" s="100" t="s">
        <v>406</v>
      </c>
      <c r="F164" s="99" t="str">
        <f t="shared" si="2"/>
        <v>Maria Vargas</v>
      </c>
    </row>
    <row r="165" spans="1:6">
      <c r="A165" s="100">
        <v>654285</v>
      </c>
      <c r="B165" s="100" t="s">
        <v>500</v>
      </c>
      <c r="C165" s="100" t="s">
        <v>479</v>
      </c>
      <c r="D165" s="100" t="s">
        <v>497</v>
      </c>
      <c r="E165" s="100" t="s">
        <v>278</v>
      </c>
      <c r="F165" s="99" t="str">
        <f t="shared" si="2"/>
        <v>Diana Ampudia</v>
      </c>
    </row>
    <row r="166" spans="1:6">
      <c r="A166" s="100">
        <v>655014</v>
      </c>
      <c r="B166" s="100" t="s">
        <v>299</v>
      </c>
      <c r="C166" s="100" t="s">
        <v>502</v>
      </c>
      <c r="D166" s="100" t="s">
        <v>481</v>
      </c>
      <c r="E166" s="100" t="s">
        <v>406</v>
      </c>
      <c r="F166" s="99" t="str">
        <f t="shared" si="2"/>
        <v>Brayan Enrique Ortiz</v>
      </c>
    </row>
    <row r="167" spans="1:6">
      <c r="A167" s="100">
        <v>655131</v>
      </c>
      <c r="B167" s="100" t="s">
        <v>546</v>
      </c>
      <c r="C167" s="100" t="s">
        <v>555</v>
      </c>
      <c r="D167" s="100" t="s">
        <v>318</v>
      </c>
      <c r="E167" s="100" t="s">
        <v>278</v>
      </c>
      <c r="F167" s="99" t="str">
        <f t="shared" si="2"/>
        <v>Harold Mahecha</v>
      </c>
    </row>
    <row r="168" spans="1:6">
      <c r="A168" s="100">
        <v>655259</v>
      </c>
      <c r="B168" s="100" t="s">
        <v>504</v>
      </c>
      <c r="C168" s="100" t="s">
        <v>358</v>
      </c>
      <c r="D168" s="100" t="s">
        <v>503</v>
      </c>
      <c r="E168" s="100" t="s">
        <v>406</v>
      </c>
      <c r="F168" s="99" t="str">
        <f t="shared" si="2"/>
        <v>Jose Guevara</v>
      </c>
    </row>
    <row r="169" spans="1:6">
      <c r="A169" s="100">
        <v>655269</v>
      </c>
      <c r="B169" s="100" t="s">
        <v>419</v>
      </c>
      <c r="C169" s="100" t="s">
        <v>354</v>
      </c>
      <c r="D169" s="100" t="s">
        <v>503</v>
      </c>
      <c r="E169" s="100" t="s">
        <v>406</v>
      </c>
      <c r="F169" s="99" t="str">
        <f t="shared" si="2"/>
        <v>Juan Orozco</v>
      </c>
    </row>
    <row r="170" spans="1:6">
      <c r="A170" s="100">
        <v>657504</v>
      </c>
      <c r="B170" s="100" t="s">
        <v>557</v>
      </c>
      <c r="C170" s="100" t="s">
        <v>559</v>
      </c>
      <c r="D170" s="100" t="s">
        <v>426</v>
      </c>
      <c r="E170" s="100" t="s">
        <v>406</v>
      </c>
      <c r="F170" s="99" t="str">
        <f t="shared" si="2"/>
        <v>Deymer Patiño</v>
      </c>
    </row>
    <row r="171" spans="1:6">
      <c r="A171" s="100">
        <v>663917</v>
      </c>
      <c r="B171" s="100" t="s">
        <v>339</v>
      </c>
      <c r="C171" s="100" t="s">
        <v>521</v>
      </c>
      <c r="D171" s="100" t="s">
        <v>426</v>
      </c>
      <c r="E171" s="100" t="s">
        <v>406</v>
      </c>
      <c r="F171" s="99" t="str">
        <f t="shared" si="2"/>
        <v>Jennyfer Cardenas</v>
      </c>
    </row>
    <row r="172" spans="1:6">
      <c r="A172" s="100">
        <v>664388</v>
      </c>
      <c r="B172" s="100" t="s">
        <v>547</v>
      </c>
      <c r="C172" s="100" t="s">
        <v>417</v>
      </c>
      <c r="D172" s="100" t="s">
        <v>426</v>
      </c>
      <c r="E172" s="100" t="s">
        <v>406</v>
      </c>
      <c r="F172" s="99" t="str">
        <f t="shared" si="2"/>
        <v>Edinson Fontal</v>
      </c>
    </row>
    <row r="173" spans="1:6">
      <c r="A173" s="100">
        <v>664872</v>
      </c>
      <c r="B173" s="100" t="s">
        <v>279</v>
      </c>
      <c r="C173" s="100" t="s">
        <v>509</v>
      </c>
      <c r="D173" s="100" t="s">
        <v>481</v>
      </c>
      <c r="E173" s="100" t="s">
        <v>406</v>
      </c>
      <c r="F173" s="99" t="str">
        <f t="shared" si="2"/>
        <v>Neidy Gutierrez</v>
      </c>
    </row>
    <row r="174" spans="1:6">
      <c r="A174" s="100">
        <v>666224</v>
      </c>
      <c r="B174" s="100" t="s">
        <v>513</v>
      </c>
      <c r="C174" s="100" t="s">
        <v>355</v>
      </c>
      <c r="D174" s="100" t="s">
        <v>570</v>
      </c>
      <c r="E174" s="100" t="s">
        <v>406</v>
      </c>
      <c r="F174" s="99" t="str">
        <f t="shared" si="2"/>
        <v>Luis Padilla</v>
      </c>
    </row>
    <row r="175" spans="1:6">
      <c r="A175" s="100">
        <v>666820</v>
      </c>
      <c r="B175" s="100" t="s">
        <v>514</v>
      </c>
      <c r="C175" s="100" t="s">
        <v>358</v>
      </c>
      <c r="D175" s="100" t="s">
        <v>318</v>
      </c>
      <c r="E175" s="100" t="s">
        <v>278</v>
      </c>
      <c r="F175" s="99" t="str">
        <f t="shared" si="2"/>
        <v>Jose Santander</v>
      </c>
    </row>
    <row r="176" spans="1:6">
      <c r="A176" s="100">
        <v>666903</v>
      </c>
      <c r="B176" s="100" t="s">
        <v>321</v>
      </c>
      <c r="C176" s="100" t="s">
        <v>358</v>
      </c>
      <c r="D176" s="100" t="s">
        <v>426</v>
      </c>
      <c r="E176" s="100" t="s">
        <v>406</v>
      </c>
      <c r="F176" s="99" t="str">
        <f t="shared" si="2"/>
        <v>Jose Sanchez</v>
      </c>
    </row>
    <row r="177" spans="1:6">
      <c r="A177" s="100">
        <v>666906</v>
      </c>
      <c r="B177" s="100" t="s">
        <v>279</v>
      </c>
      <c r="C177" s="100" t="s">
        <v>522</v>
      </c>
      <c r="D177" s="100" t="s">
        <v>426</v>
      </c>
      <c r="E177" s="100" t="s">
        <v>406</v>
      </c>
      <c r="F177" s="99" t="str">
        <f t="shared" si="2"/>
        <v>Golman Gutierrez</v>
      </c>
    </row>
    <row r="178" spans="1:6">
      <c r="A178" s="100">
        <v>666907</v>
      </c>
      <c r="B178" s="100" t="s">
        <v>515</v>
      </c>
      <c r="C178" s="100" t="s">
        <v>523</v>
      </c>
      <c r="D178" s="100" t="s">
        <v>318</v>
      </c>
      <c r="E178" s="100" t="s">
        <v>278</v>
      </c>
      <c r="F178" s="99" t="str">
        <f t="shared" si="2"/>
        <v>Albeimar Sanabria</v>
      </c>
    </row>
    <row r="179" spans="1:6">
      <c r="A179" s="100">
        <v>671285</v>
      </c>
      <c r="B179" s="100" t="s">
        <v>516</v>
      </c>
      <c r="C179" s="100" t="s">
        <v>375</v>
      </c>
      <c r="D179" s="100" t="s">
        <v>528</v>
      </c>
      <c r="E179" s="100" t="s">
        <v>406</v>
      </c>
      <c r="F179" s="99" t="str">
        <f t="shared" si="2"/>
        <v>Wilson Freitte</v>
      </c>
    </row>
    <row r="180" spans="1:6">
      <c r="A180" s="100">
        <v>671286</v>
      </c>
      <c r="B180" s="100" t="s">
        <v>311</v>
      </c>
      <c r="C180" s="100" t="s">
        <v>369</v>
      </c>
      <c r="D180" s="100" t="s">
        <v>528</v>
      </c>
      <c r="E180" s="100" t="s">
        <v>406</v>
      </c>
      <c r="F180" s="99" t="str">
        <f t="shared" si="2"/>
        <v>Jorge Garcia</v>
      </c>
    </row>
    <row r="181" spans="1:6">
      <c r="A181" s="100">
        <v>671287</v>
      </c>
      <c r="B181" s="100" t="s">
        <v>512</v>
      </c>
      <c r="C181" s="100" t="s">
        <v>524</v>
      </c>
      <c r="D181" s="100" t="s">
        <v>528</v>
      </c>
      <c r="E181" s="100" t="s">
        <v>406</v>
      </c>
      <c r="F181" s="99" t="str">
        <f t="shared" si="2"/>
        <v>James Orrego</v>
      </c>
    </row>
    <row r="182" spans="1:6">
      <c r="A182" s="100">
        <v>671488</v>
      </c>
      <c r="B182" s="100" t="s">
        <v>480</v>
      </c>
      <c r="C182" s="100" t="s">
        <v>357</v>
      </c>
      <c r="D182" s="100" t="s">
        <v>529</v>
      </c>
      <c r="E182" s="100" t="s">
        <v>406</v>
      </c>
      <c r="F182" s="99" t="str">
        <f t="shared" si="2"/>
        <v>Carlos Lopez</v>
      </c>
    </row>
    <row r="183" spans="1:6">
      <c r="A183" s="100">
        <v>672942</v>
      </c>
      <c r="B183" s="100" t="s">
        <v>517</v>
      </c>
      <c r="C183" s="100" t="s">
        <v>525</v>
      </c>
      <c r="D183" s="100" t="s">
        <v>426</v>
      </c>
      <c r="E183" s="100" t="s">
        <v>406</v>
      </c>
      <c r="F183" s="99" t="str">
        <f t="shared" si="2"/>
        <v>Dumer Samboni</v>
      </c>
    </row>
    <row r="184" spans="1:6">
      <c r="A184" s="100">
        <v>673028</v>
      </c>
      <c r="B184" s="100" t="s">
        <v>518</v>
      </c>
      <c r="C184" s="100" t="s">
        <v>526</v>
      </c>
      <c r="D184" s="100" t="s">
        <v>530</v>
      </c>
      <c r="E184" s="100" t="s">
        <v>278</v>
      </c>
      <c r="F184" s="99" t="str">
        <f t="shared" si="2"/>
        <v>Guillermo Izquierdo</v>
      </c>
    </row>
    <row r="185" spans="1:6">
      <c r="A185" s="100">
        <v>673193</v>
      </c>
      <c r="B185" s="100" t="s">
        <v>519</v>
      </c>
      <c r="C185" s="100" t="s">
        <v>527</v>
      </c>
      <c r="D185" s="100" t="s">
        <v>426</v>
      </c>
      <c r="E185" s="100" t="s">
        <v>406</v>
      </c>
      <c r="F185" s="99" t="str">
        <f t="shared" si="2"/>
        <v>Rusvel Durango</v>
      </c>
    </row>
    <row r="186" spans="1:6">
      <c r="A186" s="100">
        <v>673680</v>
      </c>
      <c r="B186" s="100" t="s">
        <v>457</v>
      </c>
      <c r="C186" s="100" t="s">
        <v>375</v>
      </c>
      <c r="D186" s="100" t="s">
        <v>426</v>
      </c>
      <c r="E186" s="100" t="s">
        <v>406</v>
      </c>
      <c r="F186" s="99" t="str">
        <f t="shared" si="2"/>
        <v>Wilson Morales</v>
      </c>
    </row>
    <row r="187" spans="1:6">
      <c r="A187" s="100">
        <v>675390</v>
      </c>
      <c r="B187" s="100" t="s">
        <v>298</v>
      </c>
      <c r="C187" s="100" t="s">
        <v>389</v>
      </c>
      <c r="D187" s="100" t="s">
        <v>560</v>
      </c>
      <c r="E187" s="100" t="s">
        <v>406</v>
      </c>
      <c r="F187" s="99" t="str">
        <f t="shared" si="2"/>
        <v>Vanessa Hernandez</v>
      </c>
    </row>
    <row r="188" spans="1:6">
      <c r="A188" s="100">
        <v>675698</v>
      </c>
      <c r="B188" s="100" t="s">
        <v>562</v>
      </c>
      <c r="C188" s="100" t="s">
        <v>401</v>
      </c>
      <c r="D188" s="100" t="s">
        <v>392</v>
      </c>
      <c r="E188" s="100" t="s">
        <v>278</v>
      </c>
      <c r="F188" s="99" t="str">
        <f t="shared" si="2"/>
        <v>Andres Cubides</v>
      </c>
    </row>
    <row r="189" spans="1:6">
      <c r="A189" s="100">
        <v>675944</v>
      </c>
      <c r="B189" s="100" t="s">
        <v>284</v>
      </c>
      <c r="C189" s="100" t="s">
        <v>354</v>
      </c>
      <c r="D189" s="100" t="s">
        <v>392</v>
      </c>
      <c r="E189" s="100" t="s">
        <v>278</v>
      </c>
      <c r="F189" s="99" t="str">
        <f t="shared" si="2"/>
        <v>Juan Rodriguez</v>
      </c>
    </row>
    <row r="190" spans="1:6">
      <c r="A190" s="100">
        <v>676110</v>
      </c>
      <c r="B190" s="100" t="s">
        <v>563</v>
      </c>
      <c r="C190" s="100" t="s">
        <v>354</v>
      </c>
      <c r="D190" s="100" t="s">
        <v>392</v>
      </c>
      <c r="E190" s="100" t="s">
        <v>278</v>
      </c>
      <c r="F190" s="99" t="str">
        <f t="shared" si="2"/>
        <v>Juan Parrado</v>
      </c>
    </row>
    <row r="191" spans="1:6">
      <c r="A191" s="100">
        <v>676142</v>
      </c>
      <c r="B191" s="100" t="s">
        <v>564</v>
      </c>
      <c r="C191" s="100" t="s">
        <v>565</v>
      </c>
      <c r="D191" s="100" t="s">
        <v>392</v>
      </c>
      <c r="E191" s="100" t="s">
        <v>278</v>
      </c>
      <c r="F191" s="99" t="str">
        <f t="shared" si="2"/>
        <v>Harrison Rincon</v>
      </c>
    </row>
    <row r="192" spans="1:6">
      <c r="A192" s="100">
        <v>676163</v>
      </c>
      <c r="B192" s="100" t="s">
        <v>168</v>
      </c>
      <c r="C192" s="100" t="s">
        <v>566</v>
      </c>
      <c r="D192" s="100" t="s">
        <v>426</v>
      </c>
      <c r="E192" s="100" t="s">
        <v>406</v>
      </c>
      <c r="F192" s="99" t="str">
        <f t="shared" si="2"/>
        <v>Dumar Torres</v>
      </c>
    </row>
    <row r="193" spans="1:6">
      <c r="A193" s="100">
        <v>677056</v>
      </c>
      <c r="B193" s="100" t="s">
        <v>569</v>
      </c>
      <c r="C193" s="100" t="s">
        <v>440</v>
      </c>
      <c r="D193" s="100" t="s">
        <v>392</v>
      </c>
      <c r="E193" s="100" t="s">
        <v>406</v>
      </c>
      <c r="F193" s="99" t="str">
        <f t="shared" si="2"/>
        <v>Rafael Bolivar</v>
      </c>
    </row>
    <row r="194" spans="1:6">
      <c r="A194" s="100">
        <v>678210</v>
      </c>
      <c r="B194" s="100" t="s">
        <v>571</v>
      </c>
      <c r="C194" s="100" t="s">
        <v>572</v>
      </c>
      <c r="D194" s="100" t="s">
        <v>422</v>
      </c>
      <c r="E194" s="100" t="s">
        <v>278</v>
      </c>
      <c r="F194" s="99" t="str">
        <f t="shared" si="2"/>
        <v>Gustavo Zamorano</v>
      </c>
    </row>
    <row r="195" spans="1:6">
      <c r="A195" s="100">
        <v>678510</v>
      </c>
      <c r="B195" s="100" t="s">
        <v>573</v>
      </c>
      <c r="C195" s="100" t="s">
        <v>358</v>
      </c>
      <c r="D195" s="100" t="s">
        <v>422</v>
      </c>
      <c r="E195" s="100" t="s">
        <v>406</v>
      </c>
      <c r="F195" s="99" t="str">
        <f t="shared" si="2"/>
        <v>Jose Jaramillo</v>
      </c>
    </row>
    <row r="196" spans="1:6">
      <c r="A196" s="100">
        <v>678931</v>
      </c>
      <c r="B196" s="100" t="s">
        <v>168</v>
      </c>
      <c r="C196" s="100" t="s">
        <v>357</v>
      </c>
      <c r="D196" s="100" t="s">
        <v>574</v>
      </c>
      <c r="E196" s="100" t="s">
        <v>406</v>
      </c>
      <c r="F196" s="99" t="str">
        <f t="shared" ref="F196:F209" si="3">CONCATENATE(C196," ",B196)</f>
        <v>Carlos Torres</v>
      </c>
    </row>
    <row r="197" spans="1:6">
      <c r="A197" s="100">
        <v>679848</v>
      </c>
      <c r="B197" s="100" t="s">
        <v>576</v>
      </c>
      <c r="C197" s="100" t="s">
        <v>577</v>
      </c>
      <c r="D197" s="100" t="s">
        <v>447</v>
      </c>
      <c r="E197" s="100" t="s">
        <v>406</v>
      </c>
      <c r="F197" s="99" t="str">
        <f t="shared" si="3"/>
        <v>Luisa Torcat</v>
      </c>
    </row>
    <row r="198" spans="1:6">
      <c r="A198" s="100">
        <v>680186</v>
      </c>
      <c r="B198" s="100" t="s">
        <v>543</v>
      </c>
      <c r="C198" s="100" t="s">
        <v>578</v>
      </c>
      <c r="D198" s="100" t="s">
        <v>595</v>
      </c>
      <c r="E198" s="100" t="s">
        <v>406</v>
      </c>
      <c r="F198" s="99" t="str">
        <f t="shared" si="3"/>
        <v>Fernanda Cortes</v>
      </c>
    </row>
    <row r="199" spans="1:6">
      <c r="A199" s="100">
        <v>680956</v>
      </c>
      <c r="B199" s="100" t="s">
        <v>155</v>
      </c>
      <c r="C199" s="100" t="s">
        <v>439</v>
      </c>
      <c r="D199" s="100" t="s">
        <v>392</v>
      </c>
      <c r="E199" s="100" t="s">
        <v>406</v>
      </c>
      <c r="F199" s="99" t="str">
        <f t="shared" si="3"/>
        <v>Diego Guzman</v>
      </c>
    </row>
    <row r="200" spans="1:6">
      <c r="A200" s="100">
        <v>681037</v>
      </c>
      <c r="B200" s="100" t="s">
        <v>581</v>
      </c>
      <c r="C200" s="100" t="s">
        <v>358</v>
      </c>
      <c r="D200" s="100" t="s">
        <v>586</v>
      </c>
      <c r="E200" s="100" t="s">
        <v>278</v>
      </c>
      <c r="F200" s="99" t="str">
        <f t="shared" si="3"/>
        <v>Jose Robles</v>
      </c>
    </row>
    <row r="201" spans="1:6">
      <c r="A201" s="100">
        <v>681525</v>
      </c>
      <c r="B201" s="100" t="s">
        <v>582</v>
      </c>
      <c r="C201" s="100" t="s">
        <v>585</v>
      </c>
      <c r="D201" s="100" t="s">
        <v>426</v>
      </c>
      <c r="E201" s="100" t="s">
        <v>406</v>
      </c>
      <c r="F201" s="99" t="str">
        <f t="shared" si="3"/>
        <v>Giovanny Sajonero</v>
      </c>
    </row>
    <row r="202" spans="1:6">
      <c r="A202" s="100">
        <v>682141</v>
      </c>
      <c r="B202" s="100" t="s">
        <v>588</v>
      </c>
      <c r="C202" s="100" t="s">
        <v>592</v>
      </c>
      <c r="D202" s="100" t="s">
        <v>426</v>
      </c>
      <c r="E202" s="100" t="s">
        <v>406</v>
      </c>
      <c r="F202" s="99" t="str">
        <f t="shared" si="3"/>
        <v>Reynaldo Rueda</v>
      </c>
    </row>
    <row r="203" spans="1:6">
      <c r="A203" s="100">
        <v>682333</v>
      </c>
      <c r="B203" s="100" t="s">
        <v>480</v>
      </c>
      <c r="C203" s="100" t="s">
        <v>590</v>
      </c>
      <c r="D203" s="100" t="s">
        <v>392</v>
      </c>
      <c r="E203" s="100" t="s">
        <v>278</v>
      </c>
      <c r="F203" s="99" t="str">
        <f t="shared" si="3"/>
        <v>Brayan Lopez</v>
      </c>
    </row>
    <row r="204" spans="1:6">
      <c r="A204" s="100">
        <v>682351</v>
      </c>
      <c r="B204" s="100" t="s">
        <v>588</v>
      </c>
      <c r="C204" s="100" t="s">
        <v>593</v>
      </c>
      <c r="D204" s="100" t="s">
        <v>426</v>
      </c>
      <c r="E204" s="100" t="s">
        <v>406</v>
      </c>
      <c r="F204" s="99" t="str">
        <f t="shared" si="3"/>
        <v>Anthony Rueda</v>
      </c>
    </row>
    <row r="205" spans="1:6">
      <c r="A205" s="100">
        <v>682355</v>
      </c>
      <c r="B205" s="100" t="s">
        <v>589</v>
      </c>
      <c r="C205" s="100" t="s">
        <v>594</v>
      </c>
      <c r="D205" s="100" t="s">
        <v>426</v>
      </c>
      <c r="E205" s="100" t="s">
        <v>406</v>
      </c>
      <c r="F205" s="99" t="str">
        <f t="shared" si="3"/>
        <v>Jhonatan Villamizar</v>
      </c>
    </row>
    <row r="206" spans="1:6">
      <c r="A206" s="100">
        <v>682414</v>
      </c>
      <c r="B206" s="100" t="s">
        <v>284</v>
      </c>
      <c r="C206" s="100" t="s">
        <v>375</v>
      </c>
      <c r="D206" s="100" t="s">
        <v>596</v>
      </c>
      <c r="E206" s="100" t="s">
        <v>406</v>
      </c>
      <c r="F206" s="99" t="str">
        <f t="shared" si="3"/>
        <v>Wilson Rodriguez</v>
      </c>
    </row>
    <row r="207" spans="1:6">
      <c r="A207" s="100">
        <v>683182</v>
      </c>
      <c r="B207" s="100" t="s">
        <v>598</v>
      </c>
      <c r="C207" s="100" t="s">
        <v>601</v>
      </c>
      <c r="D207" s="100" t="s">
        <v>392</v>
      </c>
      <c r="E207" s="100" t="s">
        <v>278</v>
      </c>
      <c r="F207" s="99" t="str">
        <f t="shared" si="3"/>
        <v>Freddi Nucci</v>
      </c>
    </row>
    <row r="208" spans="1:6">
      <c r="A208" s="100">
        <v>683439</v>
      </c>
      <c r="B208" s="100" t="s">
        <v>599</v>
      </c>
      <c r="C208" s="100" t="s">
        <v>602</v>
      </c>
      <c r="D208" s="100" t="s">
        <v>447</v>
      </c>
      <c r="E208" s="100" t="s">
        <v>278</v>
      </c>
      <c r="F208" s="99" t="str">
        <f t="shared" si="3"/>
        <v>Silvia Lizcano</v>
      </c>
    </row>
    <row r="209" spans="1:6">
      <c r="A209" s="100">
        <v>683715</v>
      </c>
      <c r="B209" s="100" t="s">
        <v>600</v>
      </c>
      <c r="C209" s="100" t="s">
        <v>603</v>
      </c>
      <c r="D209" s="100" t="s">
        <v>604</v>
      </c>
      <c r="E209" s="100" t="s">
        <v>278</v>
      </c>
      <c r="F209" s="99" t="str">
        <f t="shared" si="3"/>
        <v>Ana Mendez</v>
      </c>
    </row>
    <row r="210" spans="1:6">
      <c r="A210" s="100">
        <v>684166</v>
      </c>
      <c r="B210" s="100" t="s">
        <v>289</v>
      </c>
      <c r="C210" s="100" t="s">
        <v>364</v>
      </c>
      <c r="D210" s="100" t="s">
        <v>426</v>
      </c>
      <c r="E210" s="100" t="s">
        <v>406</v>
      </c>
      <c r="F210" s="99" t="str">
        <f>CONCATENATE(C210," ",B210)</f>
        <v>Cristian Medina</v>
      </c>
    </row>
    <row r="211" spans="1:6">
      <c r="A211" s="100">
        <v>684221</v>
      </c>
      <c r="B211" s="100" t="s">
        <v>606</v>
      </c>
      <c r="C211" s="100" t="s">
        <v>609</v>
      </c>
      <c r="D211" s="100" t="s">
        <v>470</v>
      </c>
      <c r="E211" s="100" t="s">
        <v>278</v>
      </c>
      <c r="F211" s="99" t="str">
        <f t="shared" ref="F211:F225" si="4">CONCATENATE(C211," ",B211)</f>
        <v>Christiaan Prada</v>
      </c>
    </row>
    <row r="212" spans="1:6">
      <c r="A212" s="100">
        <v>684222</v>
      </c>
      <c r="B212" s="100" t="s">
        <v>607</v>
      </c>
      <c r="C212" s="100" t="s">
        <v>354</v>
      </c>
      <c r="D212" s="100" t="s">
        <v>481</v>
      </c>
      <c r="E212" s="100" t="s">
        <v>406</v>
      </c>
      <c r="F212" s="99" t="str">
        <f t="shared" si="4"/>
        <v>Juan Sarmiento</v>
      </c>
    </row>
    <row r="213" spans="1:6">
      <c r="A213" s="100">
        <v>684224</v>
      </c>
      <c r="B213" s="100" t="s">
        <v>608</v>
      </c>
      <c r="C213" s="100" t="s">
        <v>358</v>
      </c>
      <c r="D213" s="100" t="s">
        <v>481</v>
      </c>
      <c r="E213" s="100" t="s">
        <v>406</v>
      </c>
      <c r="F213" s="99" t="str">
        <f t="shared" si="4"/>
        <v>Jose Vergara</v>
      </c>
    </row>
    <row r="214" spans="1:6">
      <c r="A214" s="100">
        <v>685425</v>
      </c>
      <c r="B214" s="100" t="s">
        <v>611</v>
      </c>
      <c r="C214" s="100" t="s">
        <v>613</v>
      </c>
      <c r="D214" s="100" t="s">
        <v>426</v>
      </c>
      <c r="E214" s="100" t="s">
        <v>406</v>
      </c>
      <c r="F214" s="99" t="str">
        <f t="shared" si="4"/>
        <v>Esteban Huertas</v>
      </c>
    </row>
    <row r="215" spans="1:6">
      <c r="A215" s="100">
        <v>685426</v>
      </c>
      <c r="B215" s="100" t="s">
        <v>612</v>
      </c>
      <c r="C215" s="100" t="s">
        <v>614</v>
      </c>
      <c r="D215" s="100" t="s">
        <v>426</v>
      </c>
      <c r="E215" s="100" t="s">
        <v>406</v>
      </c>
      <c r="F215" s="99" t="str">
        <f t="shared" si="4"/>
        <v>Hugo Barrero</v>
      </c>
    </row>
    <row r="216" spans="1:6">
      <c r="A216" s="100">
        <v>685478</v>
      </c>
      <c r="B216" s="100" t="s">
        <v>478</v>
      </c>
      <c r="C216" s="100" t="s">
        <v>286</v>
      </c>
      <c r="D216" s="100" t="s">
        <v>426</v>
      </c>
      <c r="E216" s="100" t="s">
        <v>406</v>
      </c>
      <c r="F216" s="99" t="str">
        <f t="shared" si="4"/>
        <v>Jaime Cabrera</v>
      </c>
    </row>
    <row r="217" spans="1:6">
      <c r="A217" s="100">
        <v>685718</v>
      </c>
      <c r="B217" s="100" t="s">
        <v>543</v>
      </c>
      <c r="C217" s="100" t="s">
        <v>631</v>
      </c>
      <c r="D217" s="100" t="s">
        <v>481</v>
      </c>
      <c r="E217" s="100" t="s">
        <v>406</v>
      </c>
      <c r="F217" s="99" t="str">
        <f t="shared" si="4"/>
        <v>Nicolas Cortes</v>
      </c>
    </row>
    <row r="218" spans="1:6">
      <c r="A218" s="100">
        <v>686447</v>
      </c>
      <c r="B218" s="100" t="s">
        <v>628</v>
      </c>
      <c r="C218" s="100" t="s">
        <v>439</v>
      </c>
      <c r="D218" s="100" t="s">
        <v>308</v>
      </c>
      <c r="E218" s="100" t="s">
        <v>406</v>
      </c>
      <c r="F218" s="99" t="str">
        <f t="shared" si="4"/>
        <v>Diego Villalba</v>
      </c>
    </row>
    <row r="219" spans="1:6">
      <c r="A219" s="100">
        <v>686964</v>
      </c>
      <c r="B219" s="100" t="s">
        <v>629</v>
      </c>
      <c r="C219" s="100" t="s">
        <v>632</v>
      </c>
      <c r="D219" s="100" t="s">
        <v>481</v>
      </c>
      <c r="E219" s="100" t="s">
        <v>406</v>
      </c>
      <c r="F219" s="99" t="str">
        <f t="shared" si="4"/>
        <v>Norman Sanmiguel</v>
      </c>
    </row>
    <row r="220" spans="1:6">
      <c r="A220" s="100">
        <v>687129</v>
      </c>
      <c r="B220" s="100" t="s">
        <v>351</v>
      </c>
      <c r="C220" s="100" t="s">
        <v>370</v>
      </c>
      <c r="D220" s="100" t="s">
        <v>481</v>
      </c>
      <c r="E220" s="100" t="s">
        <v>406</v>
      </c>
      <c r="F220" s="99" t="str">
        <f t="shared" si="4"/>
        <v>Oscar Luna</v>
      </c>
    </row>
    <row r="221" spans="1:6">
      <c r="A221" s="100">
        <v>688314</v>
      </c>
      <c r="B221" s="100" t="s">
        <v>633</v>
      </c>
      <c r="C221" s="100" t="s">
        <v>357</v>
      </c>
      <c r="D221" s="100" t="s">
        <v>481</v>
      </c>
      <c r="E221" s="100" t="s">
        <v>406</v>
      </c>
      <c r="F221" s="99" t="str">
        <f t="shared" si="4"/>
        <v>Carlos Florez</v>
      </c>
    </row>
    <row r="222" spans="1:6">
      <c r="A222" s="100">
        <v>688698</v>
      </c>
      <c r="B222" s="100" t="s">
        <v>635</v>
      </c>
      <c r="C222" s="100" t="s">
        <v>357</v>
      </c>
      <c r="D222" s="100" t="s">
        <v>308</v>
      </c>
      <c r="E222" s="100" t="s">
        <v>406</v>
      </c>
      <c r="F222" s="99" t="str">
        <f t="shared" si="4"/>
        <v>Carlos Tafur</v>
      </c>
    </row>
    <row r="223" spans="1:6">
      <c r="A223" s="100">
        <v>688726</v>
      </c>
      <c r="B223" s="100" t="s">
        <v>636</v>
      </c>
      <c r="C223" s="100" t="s">
        <v>362</v>
      </c>
      <c r="D223" s="100" t="s">
        <v>392</v>
      </c>
      <c r="E223" s="100" t="s">
        <v>278</v>
      </c>
      <c r="F223" s="99" t="str">
        <f t="shared" si="4"/>
        <v>Camilo Perez</v>
      </c>
    </row>
    <row r="224" spans="1:6">
      <c r="A224" s="100">
        <v>688932</v>
      </c>
      <c r="B224" s="100" t="s">
        <v>298</v>
      </c>
      <c r="C224" s="100" t="s">
        <v>637</v>
      </c>
      <c r="D224" s="100" t="s">
        <v>426</v>
      </c>
      <c r="E224" s="100" t="s">
        <v>406</v>
      </c>
      <c r="F224" s="99" t="str">
        <f t="shared" si="4"/>
        <v>Ives Hernandez</v>
      </c>
    </row>
    <row r="225" spans="1:6">
      <c r="A225" s="100">
        <v>691471</v>
      </c>
      <c r="B225" s="100" t="s">
        <v>1110</v>
      </c>
      <c r="C225" s="100" t="s">
        <v>293</v>
      </c>
      <c r="D225" s="100" t="s">
        <v>470</v>
      </c>
      <c r="E225" s="100" t="s">
        <v>278</v>
      </c>
      <c r="F225" s="99" t="str">
        <f t="shared" si="4"/>
        <v>Pedro Aguillon</v>
      </c>
    </row>
    <row r="226" spans="1:6">
      <c r="A226" s="100"/>
      <c r="B226" s="100"/>
      <c r="C226" s="100"/>
      <c r="D226" s="100"/>
      <c r="E226" s="100"/>
    </row>
    <row r="227" spans="1:6">
      <c r="A227" s="100"/>
      <c r="B227" s="100"/>
      <c r="C227" s="100"/>
      <c r="D227" s="100"/>
      <c r="E227" s="100"/>
    </row>
    <row r="228" spans="1:6">
      <c r="A228" s="100"/>
      <c r="B228" s="100"/>
      <c r="C228" s="100"/>
      <c r="D228" s="100"/>
      <c r="E228" s="100"/>
    </row>
    <row r="229" spans="1:6">
      <c r="A229" s="100"/>
      <c r="B229" s="100"/>
      <c r="C229" s="100"/>
      <c r="D229" s="100"/>
      <c r="E229" s="100"/>
    </row>
    <row r="230" spans="1:6">
      <c r="A230" s="100"/>
      <c r="B230" s="100"/>
      <c r="C230" s="100"/>
      <c r="D230" s="100"/>
      <c r="E230" s="100"/>
    </row>
    <row r="231" spans="1:6">
      <c r="A231" s="100"/>
      <c r="B231" s="100"/>
      <c r="C231" s="100"/>
      <c r="D231" s="100"/>
      <c r="E231" s="100"/>
    </row>
    <row r="232" spans="1:6">
      <c r="A232" s="100"/>
      <c r="B232" s="100"/>
      <c r="C232" s="100"/>
    </row>
    <row r="233" spans="1:6">
      <c r="A233" s="100"/>
    </row>
    <row r="234" spans="1:6">
      <c r="A234" s="100"/>
    </row>
  </sheetData>
  <autoFilter ref="A2:F177" xr:uid="{00000000-0009-0000-0000-000004000000}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57CC3C3A022B94B9342175A071FCC9A" ma:contentTypeVersion="13" ma:contentTypeDescription="Crear nuevo documento." ma:contentTypeScope="" ma:versionID="5a29023db4b97e3ed12237f308d2efd5">
  <xsd:schema xmlns:xsd="http://www.w3.org/2001/XMLSchema" xmlns:xs="http://www.w3.org/2001/XMLSchema" xmlns:p="http://schemas.microsoft.com/office/2006/metadata/properties" xmlns:ns2="5ee3c76c-fefe-47c8-aa88-d40bdf17bc87" xmlns:ns3="e653aca1-cbb3-438d-8c5e-3b366846c574" targetNamespace="http://schemas.microsoft.com/office/2006/metadata/properties" ma:root="true" ma:fieldsID="299b07e7ddf983c08990b51c5bb8a35d" ns2:_="" ns3:_="">
    <xsd:import namespace="5ee3c76c-fefe-47c8-aa88-d40bdf17bc87"/>
    <xsd:import namespace="e653aca1-cbb3-438d-8c5e-3b366846c5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e3c76c-fefe-47c8-aa88-d40bdf17bc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53aca1-cbb3-438d-8c5e-3b366846c574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33CCB0B-B886-4852-A1CF-C2434FC215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e3c76c-fefe-47c8-aa88-d40bdf17bc87"/>
    <ds:schemaRef ds:uri="e653aca1-cbb3-438d-8c5e-3b366846c5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C936A7A-28C9-4D60-B19C-837234B3000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C7E2AE9-98A6-4B86-86A5-81B6A3353BD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140</vt:i4>
      </vt:variant>
    </vt:vector>
  </HeadingPairs>
  <TitlesOfParts>
    <vt:vector size="145" baseType="lpstr">
      <vt:lpstr>Listas</vt:lpstr>
      <vt:lpstr>Pagos B&amp;C y PE</vt:lpstr>
      <vt:lpstr>Ultimo HC</vt:lpstr>
      <vt:lpstr>COP</vt:lpstr>
      <vt:lpstr>SAPlist </vt:lpstr>
      <vt:lpstr>__SAP1</vt:lpstr>
      <vt:lpstr>'Pagos B&amp;C y PE'!_MV01</vt:lpstr>
      <vt:lpstr>'Pagos B&amp;C y PE'!_MV02</vt:lpstr>
      <vt:lpstr>'Pagos B&amp;C y PE'!_MV03</vt:lpstr>
      <vt:lpstr>'Pagos B&amp;C y PE'!_MV04</vt:lpstr>
      <vt:lpstr>'Pagos B&amp;C y PE'!_MV05</vt:lpstr>
      <vt:lpstr>'Pagos B&amp;C y PE'!_OV01</vt:lpstr>
      <vt:lpstr>'Pagos B&amp;C y PE'!_OV02</vt:lpstr>
      <vt:lpstr>'Pagos B&amp;C y PE'!_OV03</vt:lpstr>
      <vt:lpstr>'Pagos B&amp;C y PE'!_OV04</vt:lpstr>
      <vt:lpstr>'Pagos B&amp;C y PE'!_OV05</vt:lpstr>
      <vt:lpstr>_SAP1</vt:lpstr>
      <vt:lpstr>Abr</vt:lpstr>
      <vt:lpstr>Ago</vt:lpstr>
      <vt:lpstr>Aug</vt:lpstr>
      <vt:lpstr>base</vt:lpstr>
      <vt:lpstr>Listas!bases</vt:lpstr>
      <vt:lpstr>'Pagos B&amp;C y PE'!BC08.</vt:lpstr>
      <vt:lpstr>'Pagos B&amp;C y PE'!BC09.</vt:lpstr>
      <vt:lpstr>'Pagos B&amp;C y PE'!BC10.</vt:lpstr>
      <vt:lpstr>BC33.</vt:lpstr>
      <vt:lpstr>'Pagos B&amp;C y PE'!BD01.</vt:lpstr>
      <vt:lpstr>'Pagos B&amp;C y PE'!BD02.</vt:lpstr>
      <vt:lpstr>'Pagos B&amp;C y PE'!BD08.</vt:lpstr>
      <vt:lpstr>'Pagos B&amp;C y PE'!BD09.</vt:lpstr>
      <vt:lpstr>'Pagos B&amp;C y PE'!BD10.</vt:lpstr>
      <vt:lpstr>'Pagos B&amp;C y PE'!BF03.</vt:lpstr>
      <vt:lpstr>'Pagos B&amp;C y PE'!BF04.</vt:lpstr>
      <vt:lpstr>'Pagos B&amp;C y PE'!BS03.</vt:lpstr>
      <vt:lpstr>'Pagos B&amp;C y PE'!BS04.</vt:lpstr>
      <vt:lpstr>'Pagos B&amp;C y PE'!BS08.</vt:lpstr>
      <vt:lpstr>'Pagos B&amp;C y PE'!BS09.</vt:lpstr>
      <vt:lpstr>'Pagos B&amp;C y PE'!BS10.</vt:lpstr>
      <vt:lpstr>Listas!cargosperry</vt:lpstr>
      <vt:lpstr>cliente</vt:lpstr>
      <vt:lpstr>Listas!clientes</vt:lpstr>
      <vt:lpstr>CliProyLoc</vt:lpstr>
      <vt:lpstr>Listas!convenciones</vt:lpstr>
      <vt:lpstr>date</vt:lpstr>
      <vt:lpstr>'Pagos B&amp;C y PE'!DD.RA</vt:lpstr>
      <vt:lpstr>'Pagos B&amp;C y PE'!DD.RB</vt:lpstr>
      <vt:lpstr>'Pagos B&amp;C y PE'!DD.RC</vt:lpstr>
      <vt:lpstr>dec</vt:lpstr>
      <vt:lpstr>Dia</vt:lpstr>
      <vt:lpstr>COP!dic</vt:lpstr>
      <vt:lpstr>Listas!Dic</vt:lpstr>
      <vt:lpstr>'Pagos B&amp;C y PE'!DV_01.</vt:lpstr>
      <vt:lpstr>'Pagos B&amp;C y PE'!DV01.</vt:lpstr>
      <vt:lpstr>'Pagos B&amp;C y PE'!DV02.</vt:lpstr>
      <vt:lpstr>'Pagos B&amp;C y PE'!DV03.</vt:lpstr>
      <vt:lpstr>'Pagos B&amp;C y PE'!DV04.</vt:lpstr>
      <vt:lpstr>'Pagos B&amp;C y PE'!DV05.</vt:lpstr>
      <vt:lpstr>Ene</vt:lpstr>
      <vt:lpstr>Feb</vt:lpstr>
      <vt:lpstr>Listas!Fecha</vt:lpstr>
      <vt:lpstr>FechaDesdeHasta</vt:lpstr>
      <vt:lpstr>fechas</vt:lpstr>
      <vt:lpstr>Jul</vt:lpstr>
      <vt:lpstr>Jun</vt:lpstr>
      <vt:lpstr>K901.</vt:lpstr>
      <vt:lpstr>K902.</vt:lpstr>
      <vt:lpstr>K903.</vt:lpstr>
      <vt:lpstr>K917.</vt:lpstr>
      <vt:lpstr>K918.</vt:lpstr>
      <vt:lpstr>K919.</vt:lpstr>
      <vt:lpstr>K926.</vt:lpstr>
      <vt:lpstr>K927.</vt:lpstr>
      <vt:lpstr>Mar</vt:lpstr>
      <vt:lpstr>May</vt:lpstr>
      <vt:lpstr>'Pagos B&amp;C y PE'!MLWDA</vt:lpstr>
      <vt:lpstr>'Pagos B&amp;C y PE'!MLWDB</vt:lpstr>
      <vt:lpstr>'Pagos B&amp;C y PE'!MLWDC</vt:lpstr>
      <vt:lpstr>'Pagos B&amp;C y PE'!MV_01.</vt:lpstr>
      <vt:lpstr>'Pagos B&amp;C y PE'!MV01.</vt:lpstr>
      <vt:lpstr>'Pagos B&amp;C y PE'!MV02.</vt:lpstr>
      <vt:lpstr>'Pagos B&amp;C y PE'!MV03.</vt:lpstr>
      <vt:lpstr>'Pagos B&amp;C y PE'!MV04.</vt:lpstr>
      <vt:lpstr>'Pagos B&amp;C y PE'!MV05.</vt:lpstr>
      <vt:lpstr>Listas!Nov</vt:lpstr>
      <vt:lpstr>Nov</vt:lpstr>
      <vt:lpstr>Oct</vt:lpstr>
      <vt:lpstr>'Pagos B&amp;C y PE'!OV_01.</vt:lpstr>
      <vt:lpstr>'Pagos B&amp;C y PE'!OV01.</vt:lpstr>
      <vt:lpstr>'Pagos B&amp;C y PE'!OV02.</vt:lpstr>
      <vt:lpstr>'Pagos B&amp;C y PE'!OV03.</vt:lpstr>
      <vt:lpstr>'Pagos B&amp;C y PE'!OV04.</vt:lpstr>
      <vt:lpstr>'Pagos B&amp;C y PE'!OV05.</vt:lpstr>
      <vt:lpstr>PC03.</vt:lpstr>
      <vt:lpstr>PC04.</vt:lpstr>
      <vt:lpstr>PC08.</vt:lpstr>
      <vt:lpstr>PC09.</vt:lpstr>
      <vt:lpstr>PC10.</vt:lpstr>
      <vt:lpstr>PC11.</vt:lpstr>
      <vt:lpstr>'Pagos B&amp;C y PE'!PEPINO</vt:lpstr>
      <vt:lpstr>PF03.</vt:lpstr>
      <vt:lpstr>PF04.</vt:lpstr>
      <vt:lpstr>PF05.</vt:lpstr>
      <vt:lpstr>PF08.</vt:lpstr>
      <vt:lpstr>PF09.</vt:lpstr>
      <vt:lpstr>PF10.</vt:lpstr>
      <vt:lpstr>PF11.</vt:lpstr>
      <vt:lpstr>PH03.</vt:lpstr>
      <vt:lpstr>PH04.</vt:lpstr>
      <vt:lpstr>PH08.</vt:lpstr>
      <vt:lpstr>PH09.</vt:lpstr>
      <vt:lpstr>PH10.</vt:lpstr>
      <vt:lpstr>PH11.</vt:lpstr>
      <vt:lpstr>PN03.</vt:lpstr>
      <vt:lpstr>PN04.</vt:lpstr>
      <vt:lpstr>PN08.</vt:lpstr>
      <vt:lpstr>PN09.</vt:lpstr>
      <vt:lpstr>PN10.</vt:lpstr>
      <vt:lpstr>COP!Print_Area</vt:lpstr>
      <vt:lpstr>PSL</vt:lpstr>
      <vt:lpstr>Listas!PSLs</vt:lpstr>
      <vt:lpstr>'Pagos B&amp;C y PE'!RTC_s</vt:lpstr>
      <vt:lpstr>'SAPlist '!SAP</vt:lpstr>
      <vt:lpstr>'SAPlist '!SAPTABLE</vt:lpstr>
      <vt:lpstr>Sep</vt:lpstr>
      <vt:lpstr>Listas!SPERRY</vt:lpstr>
      <vt:lpstr>SPERRY_DRILLING</vt:lpstr>
      <vt:lpstr>'Pagos B&amp;C y PE'!ST01.</vt:lpstr>
      <vt:lpstr>'Pagos B&amp;C y PE'!ST02.</vt:lpstr>
      <vt:lpstr>'Pagos B&amp;C y PE'!ST03.</vt:lpstr>
      <vt:lpstr>'Pagos B&amp;C y PE'!ST04.</vt:lpstr>
      <vt:lpstr>'Pagos B&amp;C y PE'!T600.</vt:lpstr>
      <vt:lpstr>'Pagos B&amp;C y PE'!T601.</vt:lpstr>
      <vt:lpstr>'Pagos B&amp;C y PE'!T602.</vt:lpstr>
      <vt:lpstr>'Pagos B&amp;C y PE'!T603.</vt:lpstr>
      <vt:lpstr>'Pagos B&amp;C y PE'!T604.</vt:lpstr>
      <vt:lpstr>'Pagos B&amp;C y PE'!T605.</vt:lpstr>
      <vt:lpstr>'Pagos B&amp;C y PE'!T606.</vt:lpstr>
      <vt:lpstr>'Pagos B&amp;C y PE'!T607.</vt:lpstr>
      <vt:lpstr>'Pagos B&amp;C y PE'!T608.</vt:lpstr>
      <vt:lpstr>'Pagos B&amp;C y PE'!T609.</vt:lpstr>
      <vt:lpstr>'Pagos B&amp;C y PE'!T610.</vt:lpstr>
      <vt:lpstr>T610.</vt:lpstr>
      <vt:lpstr>'Pagos B&amp;C y PE'!T611.</vt:lpstr>
      <vt:lpstr>T611.</vt:lpstr>
      <vt:lpstr>TipoBono</vt:lpstr>
    </vt:vector>
  </TitlesOfParts>
  <Company>Halliburton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hb31310</dc:creator>
  <cp:lastModifiedBy>Camilo Andres Ochoa</cp:lastModifiedBy>
  <cp:lastPrinted>2022-06-25T15:18:40Z</cp:lastPrinted>
  <dcterms:created xsi:type="dcterms:W3CDTF">2009-10-28T13:04:55Z</dcterms:created>
  <dcterms:modified xsi:type="dcterms:W3CDTF">2022-06-29T14:49:08Z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85aa8c-8496-45e6-88ef-230b4aed93a4_Enabled">
    <vt:lpwstr>true</vt:lpwstr>
  </property>
  <property fmtid="{D5CDD505-2E9C-101B-9397-08002B2CF9AE}" pid="3" name="MSIP_Label_ea85aa8c-8496-45e6-88ef-230b4aed93a4_SetDate">
    <vt:lpwstr>2021-10-27T02:41:32Z</vt:lpwstr>
  </property>
  <property fmtid="{D5CDD505-2E9C-101B-9397-08002B2CF9AE}" pid="4" name="MSIP_Label_ea85aa8c-8496-45e6-88ef-230b4aed93a4_Method">
    <vt:lpwstr>Privileged</vt:lpwstr>
  </property>
  <property fmtid="{D5CDD505-2E9C-101B-9397-08002B2CF9AE}" pid="5" name="MSIP_Label_ea85aa8c-8496-45e6-88ef-230b4aed93a4_Name">
    <vt:lpwstr>Public</vt:lpwstr>
  </property>
  <property fmtid="{D5CDD505-2E9C-101B-9397-08002B2CF9AE}" pid="6" name="MSIP_Label_ea85aa8c-8496-45e6-88ef-230b4aed93a4_SiteId">
    <vt:lpwstr>b7be7686-6f97-4db7-9081-a23cf09a96b5</vt:lpwstr>
  </property>
  <property fmtid="{D5CDD505-2E9C-101B-9397-08002B2CF9AE}" pid="7" name="MSIP_Label_ea85aa8c-8496-45e6-88ef-230b4aed93a4_ActionId">
    <vt:lpwstr>386c6dd1-1d35-47a9-8270-a8dd9a2d4146</vt:lpwstr>
  </property>
  <property fmtid="{D5CDD505-2E9C-101B-9397-08002B2CF9AE}" pid="8" name="MSIP_Label_ea85aa8c-8496-45e6-88ef-230b4aed93a4_ContentBits">
    <vt:lpwstr>0</vt:lpwstr>
  </property>
  <property fmtid="{D5CDD505-2E9C-101B-9397-08002B2CF9AE}" pid="9" name="ContentTypeId">
    <vt:lpwstr>0x010100857CC3C3A022B94B9342175A071FCC9A</vt:lpwstr>
  </property>
</Properties>
</file>